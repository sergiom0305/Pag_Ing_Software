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 defaultThemeVersion="166925"/>
  <xr:revisionPtr revIDLastSave="0" documentId="8_{9EFA1CDF-CC0B-4796-BE96-C9635585F5D8}" xr6:coauthVersionLast="47" xr6:coauthVersionMax="47" xr10:uidLastSave="{00000000-0000-0000-0000-000000000000}"/>
  <bookViews>
    <workbookView xWindow="240" yWindow="105" windowWidth="14805" windowHeight="8010" firstSheet="4" activeTab="1" xr2:uid="{00000000-000D-0000-FFFF-FFFF00000000}"/>
  </bookViews>
  <sheets>
    <sheet name="inicio o lanzamiento" sheetId="2" r:id="rId1"/>
    <sheet name="Estrategia" sheetId="3" r:id="rId2"/>
    <sheet name="Requerimeintos " sheetId="11" r:id="rId3"/>
    <sheet name="Planeación" sheetId="4" r:id="rId4"/>
    <sheet name="Diseño" sheetId="12" r:id="rId5"/>
    <sheet name="implementación" sheetId="7" r:id="rId6"/>
    <sheet name="Fase de pruebas" sheetId="13" r:id="rId7"/>
    <sheet name="Postmortem" sheetId="14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2" i="2" l="1"/>
  <c r="D42" i="2"/>
  <c r="E42" i="2"/>
  <c r="C41" i="2"/>
  <c r="D41" i="2"/>
  <c r="E41" i="2"/>
  <c r="C68" i="3"/>
  <c r="E68" i="3"/>
  <c r="D66" i="11"/>
  <c r="E66" i="11"/>
  <c r="F66" i="11"/>
  <c r="D61" i="4"/>
  <c r="E61" i="4"/>
  <c r="F61" i="4"/>
  <c r="D51" i="12"/>
  <c r="E51" i="12"/>
  <c r="F51" i="12"/>
  <c r="F71" i="7"/>
  <c r="F57" i="13"/>
  <c r="E78" i="14"/>
  <c r="F78" i="14"/>
  <c r="D78" i="14"/>
  <c r="E57" i="13"/>
  <c r="D57" i="13"/>
  <c r="E71" i="7"/>
  <c r="D71" i="7"/>
  <c r="D28" i="3"/>
  <c r="D27" i="3"/>
  <c r="D68" i="3" s="1"/>
</calcChain>
</file>

<file path=xl/sharedStrings.xml><?xml version="1.0" encoding="utf-8"?>
<sst xmlns="http://schemas.openxmlformats.org/spreadsheetml/2006/main" count="824" uniqueCount="243">
  <si>
    <t>Grupo:2</t>
  </si>
  <si>
    <t xml:space="preserve">Ciclo: </t>
  </si>
  <si>
    <t>semana 2</t>
  </si>
  <si>
    <t>EDT</t>
  </si>
  <si>
    <t xml:space="preserve">Actividad </t>
  </si>
  <si>
    <t>Responsables</t>
  </si>
  <si>
    <t xml:space="preserve">Tamaño estimado </t>
  </si>
  <si>
    <t>Teimpo Estimado (Minutos)</t>
  </si>
  <si>
    <t>Tamaño en lineas de codigo</t>
  </si>
  <si>
    <t>Conformación del Equipo</t>
  </si>
  <si>
    <t>LPR</t>
  </si>
  <si>
    <t xml:space="preserve"> Roles</t>
  </si>
  <si>
    <t>LA</t>
  </si>
  <si>
    <t>Reglas de funcionamiento del equipo y compromisos globales</t>
  </si>
  <si>
    <t>LAP</t>
  </si>
  <si>
    <t>Estrategia de reuniones Reunione</t>
  </si>
  <si>
    <t>LD</t>
  </si>
  <si>
    <t>Mecanismos de toma de decisiones</t>
  </si>
  <si>
    <t>LP</t>
  </si>
  <si>
    <t xml:space="preserve"> Ciclo de entregas</t>
  </si>
  <si>
    <t>Solución de conflictos</t>
  </si>
  <si>
    <t>LC</t>
  </si>
  <si>
    <t>Compromisos</t>
  </si>
  <si>
    <t>Disponibilidad de los participantes</t>
  </si>
  <si>
    <t xml:space="preserve"> Objetivos</t>
  </si>
  <si>
    <t>Objetivos del equipo</t>
  </si>
  <si>
    <t xml:space="preserve"> Objetivos de los miembros del equipo</t>
  </si>
  <si>
    <t>Objetivos de los roles</t>
  </si>
  <si>
    <t>Tareas  Líder (Diego Alejandro Diaz Montejo)</t>
  </si>
  <si>
    <t>Tareas Líder de planeación (Sergio Luis Montiel)</t>
  </si>
  <si>
    <t>Tareas Líder de procesos/calidad (Angi Carolina Sánchez)</t>
  </si>
  <si>
    <t>Tareas Líder de desarrollo (Camilo Alfonso Barbosa Lis)</t>
  </si>
  <si>
    <t>tareas Líder de arquitectura (Jonathan David Cobos Prieto)</t>
  </si>
  <si>
    <t xml:space="preserve"> Tareas Líder de soporte (Daniel Felipe Contreras)</t>
  </si>
  <si>
    <t>Definición general del proyecto</t>
  </si>
  <si>
    <t>lPR</t>
  </si>
  <si>
    <t>Objetivos del Proyecto</t>
  </si>
  <si>
    <t xml:space="preserve"> Alcance del Proyecto</t>
  </si>
  <si>
    <t>Metas del Proyecto</t>
  </si>
  <si>
    <t xml:space="preserve"> Restricciones y suposiciones</t>
  </si>
  <si>
    <t>Firma del acta</t>
  </si>
  <si>
    <t>CONTROL ASIGNACIONES</t>
  </si>
  <si>
    <t>PROYECTO:  Disel maps</t>
  </si>
  <si>
    <t>Objetivo Plan de estrategia </t>
  </si>
  <si>
    <t>Diseño de estrategias </t>
  </si>
  <si>
    <t>Criterios de estrategias </t>
  </si>
  <si>
    <t>Estrategia General </t>
  </si>
  <si>
    <t>Introducción Plan de riesgos </t>
  </si>
  <si>
    <t>Objetivos Plan de riesgos </t>
  </si>
  <si>
    <t>Alcance </t>
  </si>
  <si>
    <t>Riesgos </t>
  </si>
  <si>
    <t>Criterios de valoración </t>
  </si>
  <si>
    <t>Definición de Riesgos </t>
  </si>
  <si>
    <t>Desarollo modulos y funcionalidades</t>
  </si>
  <si>
    <t>LD,LA</t>
  </si>
  <si>
    <t>Clasificacion de riesgos</t>
  </si>
  <si>
    <t xml:space="preserve">Detalle caso de uso </t>
  </si>
  <si>
    <t xml:space="preserve">Ecenarios de calidad </t>
  </si>
  <si>
    <t xml:space="preserve">Acatas de reunion </t>
  </si>
  <si>
    <t xml:space="preserve">Validacion de documentos </t>
  </si>
  <si>
    <t>Objetivo del plan de requerimientos</t>
  </si>
  <si>
    <t>Modelo de casos de uso</t>
  </si>
  <si>
    <t>Mecanismos de seguimiento</t>
  </si>
  <si>
    <t>Definición de tareas para el objetivo</t>
  </si>
  <si>
    <t>Alcance plan de requerimiento</t>
  </si>
  <si>
    <t>Políticas y practicas</t>
  </si>
  <si>
    <t>Introduccion SRS</t>
  </si>
  <si>
    <t>Aplicacion para desarrollar</t>
  </si>
  <si>
    <t xml:space="preserve">Especificacion de atributios de calidad </t>
  </si>
  <si>
    <t>Especificacion de atributios de dominio</t>
  </si>
  <si>
    <t xml:space="preserve">Seguimiento y recolección de datos </t>
  </si>
  <si>
    <t>objetivos Plan de calidad</t>
  </si>
  <si>
    <r>
      <t>Alcance del documento </t>
    </r>
    <r>
      <rPr>
        <sz val="10"/>
        <rFont val="Arial"/>
        <charset val="1"/>
      </rPr>
      <t> </t>
    </r>
  </si>
  <si>
    <r>
      <t>Audiencia </t>
    </r>
    <r>
      <rPr>
        <sz val="10"/>
        <rFont val="Arial"/>
        <charset val="1"/>
      </rPr>
      <t> </t>
    </r>
  </si>
  <si>
    <r>
      <t>Glosario </t>
    </r>
    <r>
      <rPr>
        <sz val="10"/>
        <rFont val="Arial"/>
        <charset val="1"/>
      </rPr>
      <t> </t>
    </r>
  </si>
  <si>
    <r>
      <t>Defectos por cada mil líneas de código </t>
    </r>
    <r>
      <rPr>
        <sz val="10"/>
        <rFont val="Arial"/>
        <charset val="1"/>
      </rPr>
      <t> </t>
    </r>
  </si>
  <si>
    <r>
      <t>Proporción de defectos</t>
    </r>
    <r>
      <rPr>
        <sz val="10"/>
        <rFont val="Arial"/>
        <charset val="1"/>
      </rPr>
      <t> </t>
    </r>
  </si>
  <si>
    <r>
      <t>Proporción de tiempos de desarrollo</t>
    </r>
    <r>
      <rPr>
        <sz val="10"/>
        <rFont val="Arial"/>
        <charset val="1"/>
      </rPr>
      <t> </t>
    </r>
  </si>
  <si>
    <t>resumen de porcentajes</t>
  </si>
  <si>
    <t xml:space="preserve">Porcentaje libre de defectos </t>
  </si>
  <si>
    <t xml:space="preserve">Defectos por página </t>
  </si>
  <si>
    <t>Objetivos del documento Plan de calidad</t>
  </si>
  <si>
    <t>Introduccion del documento Plan de calidad</t>
  </si>
  <si>
    <t xml:space="preserve">Documento scirpt de proceso </t>
  </si>
  <si>
    <t>Realización de bitacora</t>
  </si>
  <si>
    <t xml:space="preserve">Revisión Bitacora Angie Sánchez </t>
  </si>
  <si>
    <t>Revisión Bitacora Jonathan Cobos</t>
  </si>
  <si>
    <t xml:space="preserve">Revisión Bitacora Sergio Montiel </t>
  </si>
  <si>
    <t xml:space="preserve">Revisión Bitacora Camilo Barbosa </t>
  </si>
  <si>
    <t>Revisión Bitacora Felipe Rodriguez</t>
  </si>
  <si>
    <t>Universidad Piloto de Colombia</t>
  </si>
  <si>
    <t xml:space="preserve">Detalles casos de uso </t>
  </si>
  <si>
    <t>Escenarios de Calidad</t>
  </si>
  <si>
    <t>Plantillas BitacoraTiempo</t>
  </si>
  <si>
    <t>Plantillas DT_Ptl_DetalleCasoUso</t>
  </si>
  <si>
    <t>Plantillas DT_Ptl_EscenarioCalidad</t>
  </si>
  <si>
    <t xml:space="preserve">Plantillas plan administración de configulacion </t>
  </si>
  <si>
    <t xml:space="preserve">Plantillas SRS </t>
  </si>
  <si>
    <t xml:space="preserve">Plantillas plan administración de requeriminetos </t>
  </si>
  <si>
    <t>Plantillas Validación de documentos</t>
  </si>
  <si>
    <t xml:space="preserve">Revisión  SRS </t>
  </si>
  <si>
    <t xml:space="preserve">Revisión  plan administración de requeriminetos </t>
  </si>
  <si>
    <t xml:space="preserve">Revisión Bitacora Diego Diaz </t>
  </si>
  <si>
    <t xml:space="preserve">Realizacion logaritmo defectos </t>
  </si>
  <si>
    <t xml:space="preserve">acatas de reunion </t>
  </si>
  <si>
    <t xml:space="preserve">especificacion de atributios de calidad </t>
  </si>
  <si>
    <t>especificacion de atributios de dominio</t>
  </si>
  <si>
    <t>Asignación de responsabilidades</t>
  </si>
  <si>
    <t xml:space="preserve">Criterios para evaluar requerimentos </t>
  </si>
  <si>
    <t xml:space="preserve">Revisión y validación Bitacora Angie Sánchez </t>
  </si>
  <si>
    <t>Revisión y validación Bitacora Jonathan Cobos</t>
  </si>
  <si>
    <t xml:space="preserve">Revisión y validación Bitacora Sergio Montiel </t>
  </si>
  <si>
    <t xml:space="preserve">Revisión y validación Bitacora Camilo Barbosa </t>
  </si>
  <si>
    <t>Revisión y validación Bitacora Felipe Rodriguez</t>
  </si>
  <si>
    <t xml:space="preserve">Revisión y validación Bitacora Diego Diaz </t>
  </si>
  <si>
    <t>Realización de Maestro de documentos</t>
  </si>
  <si>
    <t>Especificación de tareas post mortem</t>
  </si>
  <si>
    <t>Especificación de tareas implementacion</t>
  </si>
  <si>
    <t>Especificación de tareas pruebas</t>
  </si>
  <si>
    <t>Especificación de tareas administrativas</t>
  </si>
  <si>
    <t>Especificación de tareas lanzamiento</t>
  </si>
  <si>
    <t>Proporción de tiempos de desarrollo </t>
  </si>
  <si>
    <t>Especificación de tareas Estrategia</t>
  </si>
  <si>
    <t>Especificación de tareas Diseño</t>
  </si>
  <si>
    <t>estilo de arquitectura</t>
  </si>
  <si>
    <t>vistas de arquitectura</t>
  </si>
  <si>
    <t>objetivos del documento SDS</t>
  </si>
  <si>
    <t>Digrama de información</t>
  </si>
  <si>
    <t>decisiones de arquitectura</t>
  </si>
  <si>
    <t>diseño detallado</t>
  </si>
  <si>
    <t>Digrama de concurrencia</t>
  </si>
  <si>
    <t xml:space="preserve">Diagrama operacional </t>
  </si>
  <si>
    <t>objetivos del documento SDS </t>
  </si>
  <si>
    <t xml:space="preserve">Audiencia del documento SDS </t>
  </si>
  <si>
    <r>
      <t>Acrónimo</t>
    </r>
    <r>
      <rPr>
        <sz val="10"/>
        <rFont val="Arial"/>
        <charset val="1"/>
      </rPr>
      <t> </t>
    </r>
  </si>
  <si>
    <r>
      <t>Descripción del problema</t>
    </r>
    <r>
      <rPr>
        <sz val="10"/>
        <rFont val="Arial"/>
        <charset val="1"/>
      </rPr>
      <t> </t>
    </r>
  </si>
  <si>
    <r>
      <t>objetivos de la aplicación  </t>
    </r>
    <r>
      <rPr>
        <sz val="10"/>
        <rFont val="Arial"/>
        <charset val="1"/>
      </rPr>
      <t> </t>
    </r>
  </si>
  <si>
    <t>Componentes y responsabilidades casos de uso </t>
  </si>
  <si>
    <t xml:space="preserve">Diagrama de despliegue </t>
  </si>
  <si>
    <t>diagra de despliegue</t>
  </si>
  <si>
    <t>Correccion de errores</t>
  </si>
  <si>
    <t>Plantillas SDS</t>
  </si>
  <si>
    <t>Actualizacion Maestros de documentos semanales</t>
  </si>
  <si>
    <t>Revision y validación SDS</t>
  </si>
  <si>
    <t xml:space="preserve">Especificación detallada de tareas </t>
  </si>
  <si>
    <t xml:space="preserve">Estandares de nombramiento </t>
  </si>
  <si>
    <t>Estandares de codificación</t>
  </si>
  <si>
    <t>Revisión de diseño</t>
  </si>
  <si>
    <t xml:space="preserve">Estrategias de implementación </t>
  </si>
  <si>
    <t xml:space="preserve">Revisiones de codigos </t>
  </si>
  <si>
    <t>sistema de autentificación</t>
  </si>
  <si>
    <t>configuración conección base de datos</t>
  </si>
  <si>
    <t>implementación del api Mapas</t>
  </si>
  <si>
    <t>gestor de rutas</t>
  </si>
  <si>
    <t>gestor de estaciones</t>
  </si>
  <si>
    <t>modulo de informacion de estaciones</t>
  </si>
  <si>
    <t>gestor de tipos de gasolinas</t>
  </si>
  <si>
    <t>sistema de estación proxima</t>
  </si>
  <si>
    <t>implementacion interfaz usuario</t>
  </si>
  <si>
    <t>implementacion interfaz admin</t>
  </si>
  <si>
    <t xml:space="preserve">implementación interfaz operador  </t>
  </si>
  <si>
    <t>modulo de actualizar precios</t>
  </si>
  <si>
    <t>frontend (React)</t>
  </si>
  <si>
    <t>vistas Funcionales</t>
  </si>
  <si>
    <t xml:space="preserve">Plan de pruevas unitarias </t>
  </si>
  <si>
    <t xml:space="preserve">Correción de productos </t>
  </si>
  <si>
    <t xml:space="preserve">Base de datos </t>
  </si>
  <si>
    <t xml:space="preserve">Interfaces de servicios crud </t>
  </si>
  <si>
    <t xml:space="preserve">Pruebas postman </t>
  </si>
  <si>
    <t> Estándares de codificación </t>
  </si>
  <si>
    <t xml:space="preserve"> Estándares de arquitectura </t>
  </si>
  <si>
    <t xml:space="preserve"> Estándares de documentación </t>
  </si>
  <si>
    <t>Estándares de seguridad y calidad </t>
  </si>
  <si>
    <t>Objetivo del criterio de completitud </t>
  </si>
  <si>
    <t xml:space="preserve"> Componentes del diseño que deben completarse </t>
  </si>
  <si>
    <t>ajustar casos de uso  el doc SDS</t>
  </si>
  <si>
    <t>ajustar tablas BD</t>
  </si>
  <si>
    <t>Completar control de asignaciones</t>
  </si>
  <si>
    <t>Artefactos requeridos para la implementación </t>
  </si>
  <si>
    <t>1.4 Criterios de validación del diseño </t>
  </si>
  <si>
    <t xml:space="preserve"> Enfoque de desarrollo </t>
  </si>
  <si>
    <t xml:space="preserve"> Plan de implementación por módulos </t>
  </si>
  <si>
    <t>Integración de componentes </t>
  </si>
  <si>
    <t>Gestión de versiones </t>
  </si>
  <si>
    <t xml:space="preserve">Revisiones e inspecciones </t>
  </si>
  <si>
    <t>Objetivo de las revisiones </t>
  </si>
  <si>
    <t xml:space="preserve"> Tipos de revisiones </t>
  </si>
  <si>
    <t xml:space="preserve"> Proceso de inspección </t>
  </si>
  <si>
    <t>responsables de las revisiones </t>
  </si>
  <si>
    <t>Registro y seguimiento de observaciones </t>
  </si>
  <si>
    <t>2.1.4.1 CPI-004</t>
  </si>
  <si>
    <t>2.2.1 Estartegia</t>
  </si>
  <si>
    <t xml:space="preserve">2.2.2 Recursos </t>
  </si>
  <si>
    <t>2.2.3 Ambiente</t>
  </si>
  <si>
    <t>Plantilla detalle casos de prueba</t>
  </si>
  <si>
    <t>Plantilla Plan de pruebas</t>
  </si>
  <si>
    <t xml:space="preserve">Revisión y validación detalle casos de prueba </t>
  </si>
  <si>
    <t>Revisión y validación plan de pruebas</t>
  </si>
  <si>
    <t>Realizacion logaritmo defectos y codigo</t>
  </si>
  <si>
    <t>Realizacion de Manejo de riesgos</t>
  </si>
  <si>
    <t>2.1.4.1 CPI-003</t>
  </si>
  <si>
    <t xml:space="preserve">mejoras aplicativo </t>
  </si>
  <si>
    <t>2.1.1 Estrategia</t>
  </si>
  <si>
    <t>2.1.2 Recursos</t>
  </si>
  <si>
    <t>2.1.3 ambiente</t>
  </si>
  <si>
    <t xml:space="preserve">2.1.4.1 CPI-001 </t>
  </si>
  <si>
    <t>2.1.4.1 CPI-002</t>
  </si>
  <si>
    <t>2.1.5 Asignación responsabilidad de la ejecución de prueb</t>
  </si>
  <si>
    <t xml:space="preserve">2.2.5 Asignación responsabilidad de la ejecución de prueba </t>
  </si>
  <si>
    <t xml:space="preserve">2.3.5Asignación responsabilidad de la ejecución de prueba </t>
  </si>
  <si>
    <t>2.1.4.1 CPI-005</t>
  </si>
  <si>
    <t>2.1.4.1 CPI-006</t>
  </si>
  <si>
    <t>2.3.1 Estrategia</t>
  </si>
  <si>
    <t>2.3.2 Recursos</t>
  </si>
  <si>
    <t>2.3.3 ambiente</t>
  </si>
  <si>
    <t>Integración Backend</t>
  </si>
  <si>
    <t>Componentes UI</t>
  </si>
  <si>
    <t>Pruebas técnicas</t>
  </si>
  <si>
    <t xml:space="preserve">api usuario en el mapa </t>
  </si>
  <si>
    <t xml:space="preserve">api de estaciones reales </t>
  </si>
  <si>
    <t>realizacion de Postmortem por rol</t>
  </si>
  <si>
    <t xml:space="preserve">realizacion de Postmortem por equipo </t>
  </si>
  <si>
    <t xml:space="preserve">realizacion de Postmortem por Personal </t>
  </si>
  <si>
    <t>Matris dofa Debilidades</t>
  </si>
  <si>
    <t xml:space="preserve">Matris dofa Oportunidades de mejora </t>
  </si>
  <si>
    <t>Matris dofa Fortalezas</t>
  </si>
  <si>
    <t>Matris dofa Amenazas</t>
  </si>
  <si>
    <t>Plantilla Postmortem Rol</t>
  </si>
  <si>
    <t>Plantilla Postmortem Grupal</t>
  </si>
  <si>
    <t>Revisión y validación Postmortem Rol</t>
  </si>
  <si>
    <t>Revisión y validación Postmortem Grupal</t>
  </si>
  <si>
    <t>Desempeño del rol</t>
  </si>
  <si>
    <t>Plan de Reuniones</t>
  </si>
  <si>
    <t>Como desempeñe mi rol</t>
  </si>
  <si>
    <t>que debe mejorar ​</t>
  </si>
  <si>
    <t>metriacas Resumen de Porcentajes</t>
  </si>
  <si>
    <t>metriacas Porcentaje Libre de Defectos (PDF)</t>
  </si>
  <si>
    <t>metrica Defectos por Página</t>
  </si>
  <si>
    <t>metricas Defectos por cada mil líneas de código (KLOC)</t>
  </si>
  <si>
    <t>metricas Proporción de Defectos (Ratio)</t>
  </si>
  <si>
    <t xml:space="preserve">metricas  Proporción de Tiempos de Desarrollo </t>
  </si>
  <si>
    <t>Actualizacion de dt_ptl_controlAsignaciones</t>
  </si>
  <si>
    <t xml:space="preserve">resumen de requerimientos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</si>
</sst>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8">
    <font>
      <sz val="11"/>
      <color theme="1"/>
      <name val="Calibri"/>
      <family val="2"/>
      <scheme val="minor"/>
    </font>
    <font>
      <sz val="10"/>
      <name val="Arial"/>
      <charset val="1"/>
    </font>
    <font>
      <sz val="10"/>
      <color rgb="FF000000"/>
      <name val="Arial"/>
      <charset val="1"/>
    </font>
    <font>
      <sz val="10"/>
      <name val="Arial"/>
      <family val="2"/>
    </font>
    <font>
      <b/>
      <sz val="10"/>
      <color indexed="8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</borders>
  <cellStyleXfs count="1">
    <xf numFmtId="0" fontId="0" fillId="0" borderId="0"/>
  </cellStyleXfs>
  <cellXfs count="129">
    <xf numFmtId="0" fontId="0" fillId="0" borderId="0" xfId="0"/>
    <xf numFmtId="0" fontId="0" fillId="0" borderId="4" xfId="0" applyBorder="1" applyAlignment="1">
      <alignment horizontal="center"/>
    </xf>
    <xf numFmtId="0" fontId="0" fillId="0" borderId="4" xfId="0" applyBorder="1"/>
    <xf numFmtId="0" fontId="0" fillId="0" borderId="9" xfId="0" applyBorder="1"/>
    <xf numFmtId="0" fontId="0" fillId="0" borderId="5" xfId="0" applyBorder="1"/>
    <xf numFmtId="0" fontId="0" fillId="0" borderId="7" xfId="0" applyBorder="1"/>
    <xf numFmtId="0" fontId="0" fillId="0" borderId="10" xfId="0" applyBorder="1"/>
    <xf numFmtId="0" fontId="0" fillId="0" borderId="8" xfId="0" applyBorder="1"/>
    <xf numFmtId="0" fontId="0" fillId="2" borderId="4" xfId="0" applyFill="1" applyBorder="1" applyAlignment="1">
      <alignment horizontal="center"/>
    </xf>
    <xf numFmtId="0" fontId="0" fillId="0" borderId="2" xfId="0" applyBorder="1"/>
    <xf numFmtId="0" fontId="0" fillId="0" borderId="10" xfId="0" applyBorder="1" applyAlignment="1">
      <alignment horizontal="center"/>
    </xf>
    <xf numFmtId="0" fontId="0" fillId="2" borderId="11" xfId="0" applyFill="1" applyBorder="1"/>
    <xf numFmtId="0" fontId="1" fillId="0" borderId="4" xfId="0" applyFont="1" applyBorder="1" applyAlignment="1">
      <alignment horizontal="center" readingOrder="1"/>
    </xf>
    <xf numFmtId="0" fontId="1" fillId="0" borderId="4" xfId="0" applyFont="1" applyBorder="1" applyAlignment="1">
      <alignment readingOrder="1"/>
    </xf>
    <xf numFmtId="0" fontId="0" fillId="0" borderId="9" xfId="0" applyBorder="1" applyAlignment="1">
      <alignment vertical="center"/>
    </xf>
    <xf numFmtId="0" fontId="0" fillId="0" borderId="4" xfId="0" applyBorder="1" applyAlignment="1">
      <alignment vertical="center"/>
    </xf>
    <xf numFmtId="0" fontId="1" fillId="0" borderId="4" xfId="0" applyFont="1" applyBorder="1" applyAlignment="1">
      <alignment vertical="center" readingOrder="1"/>
    </xf>
    <xf numFmtId="0" fontId="1" fillId="0" borderId="10" xfId="0" applyFont="1" applyBorder="1" applyAlignment="1">
      <alignment vertical="center" readingOrder="1"/>
    </xf>
    <xf numFmtId="0" fontId="2" fillId="0" borderId="10" xfId="0" applyFont="1" applyBorder="1" applyAlignment="1">
      <alignment vertical="center" wrapText="1"/>
    </xf>
    <xf numFmtId="164" fontId="0" fillId="3" borderId="4" xfId="0" applyNumberFormat="1" applyFill="1" applyBorder="1" applyAlignment="1">
      <alignment vertical="center"/>
    </xf>
    <xf numFmtId="0" fontId="1" fillId="0" borderId="10" xfId="0" applyFont="1" applyBorder="1" applyAlignment="1">
      <alignment horizontal="center" readingOrder="1"/>
    </xf>
    <xf numFmtId="164" fontId="0" fillId="3" borderId="10" xfId="0" applyNumberFormat="1" applyFill="1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4" xfId="0" applyBorder="1" applyAlignment="1">
      <alignment horizontal="center" vertical="center" wrapText="1"/>
    </xf>
    <xf numFmtId="1" fontId="0" fillId="0" borderId="4" xfId="0" applyNumberFormat="1" applyBorder="1" applyAlignment="1">
      <alignment horizontal="center" vertical="center"/>
    </xf>
    <xf numFmtId="0" fontId="2" fillId="0" borderId="4" xfId="0" applyFont="1" applyBorder="1" applyAlignment="1">
      <alignment vertical="center" wrapText="1"/>
    </xf>
    <xf numFmtId="1" fontId="3" fillId="0" borderId="4" xfId="0" applyNumberFormat="1" applyFont="1" applyBorder="1" applyAlignment="1">
      <alignment horizontal="center" vertical="center" wrapText="1"/>
    </xf>
    <xf numFmtId="164" fontId="0" fillId="3" borderId="4" xfId="0" applyNumberFormat="1" applyFill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164" fontId="0" fillId="0" borderId="10" xfId="0" applyNumberFormat="1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2" fillId="0" borderId="4" xfId="0" applyFont="1" applyBorder="1"/>
    <xf numFmtId="0" fontId="1" fillId="0" borderId="9" xfId="0" applyFont="1" applyBorder="1" applyAlignment="1">
      <alignment readingOrder="1"/>
    </xf>
    <xf numFmtId="0" fontId="5" fillId="0" borderId="4" xfId="0" applyFont="1" applyBorder="1" applyAlignment="1">
      <alignment horizontal="left" vertical="top" wrapText="1"/>
    </xf>
    <xf numFmtId="0" fontId="5" fillId="0" borderId="4" xfId="0" applyFont="1" applyBorder="1" applyAlignment="1">
      <alignment vertical="center"/>
    </xf>
    <xf numFmtId="0" fontId="1" fillId="0" borderId="4" xfId="0" applyFont="1" applyBorder="1" applyAlignment="1">
      <alignment wrapText="1" readingOrder="1"/>
    </xf>
    <xf numFmtId="0" fontId="1" fillId="0" borderId="10" xfId="0" applyFont="1" applyBorder="1" applyAlignment="1">
      <alignment wrapText="1" readingOrder="1"/>
    </xf>
    <xf numFmtId="0" fontId="0" fillId="3" borderId="4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4" fontId="0" fillId="3" borderId="4" xfId="0" applyNumberFormat="1" applyFill="1" applyBorder="1" applyAlignment="1">
      <alignment horizontal="center" vertical="center"/>
    </xf>
    <xf numFmtId="164" fontId="0" fillId="3" borderId="4" xfId="0" applyNumberForma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wrapText="1" readingOrder="1"/>
    </xf>
    <xf numFmtId="0" fontId="0" fillId="4" borderId="11" xfId="0" applyFill="1" applyBorder="1" applyAlignment="1">
      <alignment horizontal="center" wrapText="1"/>
    </xf>
    <xf numFmtId="0" fontId="0" fillId="0" borderId="9" xfId="0" applyBorder="1" applyAlignment="1">
      <alignment vertical="center" wrapText="1"/>
    </xf>
    <xf numFmtId="0" fontId="0" fillId="2" borderId="4" xfId="0" applyFill="1" applyBorder="1"/>
    <xf numFmtId="0" fontId="0" fillId="4" borderId="4" xfId="0" applyFill="1" applyBorder="1" applyAlignment="1">
      <alignment horizontal="center"/>
    </xf>
    <xf numFmtId="0" fontId="0" fillId="4" borderId="4" xfId="0" applyFill="1" applyBorder="1" applyAlignment="1">
      <alignment horizontal="center" wrapText="1"/>
    </xf>
    <xf numFmtId="0" fontId="0" fillId="4" borderId="4" xfId="0" applyFill="1" applyBorder="1"/>
    <xf numFmtId="0" fontId="0" fillId="0" borderId="4" xfId="0" applyBorder="1" applyAlignment="1">
      <alignment horizontal="left" wrapText="1"/>
    </xf>
    <xf numFmtId="0" fontId="1" fillId="0" borderId="4" xfId="0" applyFont="1" applyBorder="1" applyAlignment="1">
      <alignment horizontal="left" wrapText="1" readingOrder="1"/>
    </xf>
    <xf numFmtId="164" fontId="0" fillId="3" borderId="4" xfId="0" applyNumberFormat="1" applyFill="1" applyBorder="1" applyAlignment="1">
      <alignment horizontal="left" vertical="center" wrapText="1"/>
    </xf>
    <xf numFmtId="0" fontId="2" fillId="0" borderId="4" xfId="0" applyFont="1" applyBorder="1" applyAlignment="1">
      <alignment horizontal="left" wrapText="1"/>
    </xf>
    <xf numFmtId="0" fontId="0" fillId="0" borderId="4" xfId="0" applyBorder="1" applyAlignment="1">
      <alignment horizontal="left"/>
    </xf>
    <xf numFmtId="0" fontId="7" fillId="0" borderId="4" xfId="0" applyFont="1" applyBorder="1" applyAlignment="1">
      <alignment horizontal="center" vertical="center"/>
    </xf>
    <xf numFmtId="164" fontId="0" fillId="2" borderId="5" xfId="0" applyNumberFormat="1" applyFill="1" applyBorder="1" applyAlignment="1">
      <alignment vertical="center"/>
    </xf>
    <xf numFmtId="164" fontId="0" fillId="3" borderId="5" xfId="0" applyNumberFormat="1" applyFill="1" applyBorder="1" applyAlignment="1">
      <alignment vertical="center"/>
    </xf>
    <xf numFmtId="164" fontId="0" fillId="3" borderId="5" xfId="0" applyNumberFormat="1" applyFill="1" applyBorder="1" applyAlignment="1">
      <alignment vertical="center" wrapText="1"/>
    </xf>
    <xf numFmtId="0" fontId="0" fillId="0" borderId="0" xfId="0" applyAlignment="1">
      <alignment vertical="center"/>
    </xf>
    <xf numFmtId="164" fontId="0" fillId="3" borderId="10" xfId="0" applyNumberFormat="1" applyFill="1" applyBorder="1" applyAlignment="1">
      <alignment vertical="center" wrapText="1"/>
    </xf>
    <xf numFmtId="0" fontId="0" fillId="0" borderId="5" xfId="0" applyBorder="1" applyAlignment="1">
      <alignment vertical="center"/>
    </xf>
    <xf numFmtId="0" fontId="0" fillId="0" borderId="8" xfId="0" applyBorder="1" applyAlignment="1">
      <alignment vertical="center"/>
    </xf>
    <xf numFmtId="0" fontId="1" fillId="0" borderId="5" xfId="0" applyFont="1" applyBorder="1" applyAlignment="1">
      <alignment vertical="center" readingOrder="1"/>
    </xf>
    <xf numFmtId="0" fontId="0" fillId="3" borderId="10" xfId="0" applyFill="1" applyBorder="1" applyAlignment="1">
      <alignment vertical="center"/>
    </xf>
    <xf numFmtId="1" fontId="0" fillId="0" borderId="2" xfId="0" applyNumberFormat="1" applyBorder="1" applyAlignment="1">
      <alignment vertical="center"/>
    </xf>
    <xf numFmtId="1" fontId="0" fillId="0" borderId="5" xfId="0" applyNumberFormat="1" applyBorder="1" applyAlignment="1">
      <alignment vertical="center"/>
    </xf>
    <xf numFmtId="1" fontId="3" fillId="0" borderId="5" xfId="0" applyNumberFormat="1" applyFont="1" applyBorder="1" applyAlignment="1">
      <alignment vertical="center" wrapText="1"/>
    </xf>
    <xf numFmtId="1" fontId="3" fillId="0" borderId="8" xfId="0" applyNumberFormat="1" applyFont="1" applyBorder="1" applyAlignment="1">
      <alignment vertical="center" wrapText="1"/>
    </xf>
    <xf numFmtId="1" fontId="3" fillId="0" borderId="2" xfId="0" applyNumberFormat="1" applyFont="1" applyBorder="1" applyAlignment="1">
      <alignment vertical="center" wrapText="1"/>
    </xf>
    <xf numFmtId="1" fontId="0" fillId="0" borderId="8" xfId="0" applyNumberFormat="1" applyBorder="1" applyAlignment="1">
      <alignment vertical="center"/>
    </xf>
    <xf numFmtId="0" fontId="2" fillId="0" borderId="5" xfId="0" applyFont="1" applyBorder="1"/>
    <xf numFmtId="0" fontId="1" fillId="0" borderId="13" xfId="0" applyFont="1" applyBorder="1" applyAlignment="1">
      <alignment wrapText="1" readingOrder="1"/>
    </xf>
    <xf numFmtId="0" fontId="0" fillId="0" borderId="2" xfId="0" applyBorder="1" applyAlignment="1">
      <alignment vertical="center"/>
    </xf>
    <xf numFmtId="0" fontId="1" fillId="0" borderId="14" xfId="0" applyFont="1" applyBorder="1" applyAlignment="1">
      <alignment wrapText="1" readingOrder="1"/>
    </xf>
    <xf numFmtId="0" fontId="1" fillId="0" borderId="15" xfId="0" applyFont="1" applyBorder="1" applyAlignment="1">
      <alignment wrapText="1" readingOrder="1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164" fontId="0" fillId="3" borderId="11" xfId="0" applyNumberFormat="1" applyFill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0" fillId="0" borderId="4" xfId="0" applyBorder="1" applyAlignment="1">
      <alignment wrapText="1" readingOrder="1"/>
    </xf>
    <xf numFmtId="0" fontId="2" fillId="0" borderId="0" xfId="0" applyFont="1"/>
    <xf numFmtId="0" fontId="2" fillId="0" borderId="8" xfId="0" applyFont="1" applyBorder="1" applyAlignment="1">
      <alignment vertical="center" wrapText="1"/>
    </xf>
    <xf numFmtId="0" fontId="2" fillId="0" borderId="4" xfId="0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0" fillId="0" borderId="2" xfId="0" applyBorder="1" applyAlignment="1">
      <alignment wrapText="1"/>
    </xf>
    <xf numFmtId="0" fontId="0" fillId="0" borderId="5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164" fontId="0" fillId="3" borderId="2" xfId="0" applyNumberFormat="1" applyFill="1" applyBorder="1" applyAlignment="1">
      <alignment vertical="center" wrapText="1"/>
    </xf>
    <xf numFmtId="164" fontId="0" fillId="3" borderId="8" xfId="0" applyNumberFormat="1" applyFill="1" applyBorder="1" applyAlignment="1">
      <alignment vertical="center" wrapText="1"/>
    </xf>
    <xf numFmtId="0" fontId="2" fillId="0" borderId="5" xfId="0" applyFont="1" applyBorder="1" applyAlignment="1">
      <alignment wrapText="1"/>
    </xf>
    <xf numFmtId="0" fontId="7" fillId="0" borderId="4" xfId="0" applyFont="1" applyBorder="1" applyAlignment="1">
      <alignment wrapText="1"/>
    </xf>
    <xf numFmtId="0" fontId="7" fillId="0" borderId="9" xfId="0" applyFont="1" applyBorder="1" applyAlignment="1">
      <alignment wrapText="1"/>
    </xf>
    <xf numFmtId="0" fontId="7" fillId="0" borderId="12" xfId="0" applyFont="1" applyBorder="1" applyAlignment="1">
      <alignment wrapText="1"/>
    </xf>
    <xf numFmtId="0" fontId="7" fillId="0" borderId="4" xfId="0" applyFont="1" applyBorder="1" applyAlignment="1">
      <alignment horizontal="left" wrapText="1"/>
    </xf>
    <xf numFmtId="164" fontId="0" fillId="0" borderId="0" xfId="0" applyNumberFormat="1" applyAlignment="1">
      <alignment vertical="center" wrapText="1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vertical="center" wrapText="1"/>
    </xf>
    <xf numFmtId="0" fontId="0" fillId="3" borderId="9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1" fontId="0" fillId="0" borderId="9" xfId="0" applyNumberFormat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7" fillId="0" borderId="10" xfId="0" applyFont="1" applyBorder="1" applyAlignment="1">
      <alignment wrapText="1"/>
    </xf>
    <xf numFmtId="0" fontId="7" fillId="0" borderId="11" xfId="0" applyFont="1" applyBorder="1" applyAlignment="1">
      <alignment wrapText="1"/>
    </xf>
    <xf numFmtId="1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4" borderId="8" xfId="0" applyFill="1" applyBorder="1" applyAlignment="1">
      <alignment horizontal="center" wrapText="1"/>
    </xf>
    <xf numFmtId="0" fontId="6" fillId="0" borderId="10" xfId="0" applyFont="1" applyBorder="1" applyAlignment="1">
      <alignment horizontal="center" vertical="center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vertical="center"/>
    </xf>
    <xf numFmtId="0" fontId="0" fillId="0" borderId="0" xfId="0" applyFill="1" applyBorder="1"/>
    <xf numFmtId="0" fontId="0" fillId="4" borderId="5" xfId="0" applyFill="1" applyBorder="1" applyAlignment="1">
      <alignment horizontal="center" wrapText="1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66675</xdr:colOff>
      <xdr:row>0</xdr:row>
      <xdr:rowOff>0</xdr:rowOff>
    </xdr:from>
    <xdr:to>
      <xdr:col>11</xdr:col>
      <xdr:colOff>381000</xdr:colOff>
      <xdr:row>2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DB4977-A208-4B86-A6EF-497752461FCD}"/>
            </a:ext>
            <a:ext uri="{147F2762-F138-4A5C-976F-8EAC2B608ADB}">
              <a16:predDERef xmlns:a16="http://schemas.microsoft.com/office/drawing/2014/main" pred="{2EC09294-E9C6-4C3D-95A2-80BECD7E4D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96625" y="0"/>
          <a:ext cx="923925" cy="533400"/>
        </a:xfrm>
        <a:prstGeom prst="rect">
          <a:avLst/>
        </a:prstGeom>
      </xdr:spPr>
    </xdr:pic>
    <xdr:clientData/>
  </xdr:twoCellAnchor>
  <xdr:twoCellAnchor editAs="oneCell">
    <xdr:from>
      <xdr:col>0</xdr:col>
      <xdr:colOff>276225</xdr:colOff>
      <xdr:row>0</xdr:row>
      <xdr:rowOff>76200</xdr:rowOff>
    </xdr:from>
    <xdr:to>
      <xdr:col>0</xdr:col>
      <xdr:colOff>771525</xdr:colOff>
      <xdr:row>2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B73EC1D-6A7A-40E7-A9FC-01CF0AFACDBD}"/>
            </a:ext>
            <a:ext uri="{147F2762-F138-4A5C-976F-8EAC2B608ADB}">
              <a16:predDERef xmlns:a16="http://schemas.microsoft.com/office/drawing/2014/main" pred="{CDDB4977-A208-4B86-A6EF-497752461FCD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76200"/>
          <a:ext cx="495300" cy="40005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66675</xdr:colOff>
      <xdr:row>0</xdr:row>
      <xdr:rowOff>0</xdr:rowOff>
    </xdr:from>
    <xdr:to>
      <xdr:col>10</xdr:col>
      <xdr:colOff>381000</xdr:colOff>
      <xdr:row>2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8A8F1A-596F-4212-9253-210279E44F23}"/>
            </a:ext>
            <a:ext uri="{147F2762-F138-4A5C-976F-8EAC2B608ADB}">
              <a16:predDERef xmlns:a16="http://schemas.microsoft.com/office/drawing/2014/main" pred="{2EC09294-E9C6-4C3D-95A2-80BECD7E4D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96625" y="0"/>
          <a:ext cx="923925" cy="533400"/>
        </a:xfrm>
        <a:prstGeom prst="rect">
          <a:avLst/>
        </a:prstGeom>
      </xdr:spPr>
    </xdr:pic>
    <xdr:clientData/>
  </xdr:twoCellAnchor>
  <xdr:twoCellAnchor editAs="oneCell">
    <xdr:from>
      <xdr:col>0</xdr:col>
      <xdr:colOff>276225</xdr:colOff>
      <xdr:row>0</xdr:row>
      <xdr:rowOff>76200</xdr:rowOff>
    </xdr:from>
    <xdr:to>
      <xdr:col>0</xdr:col>
      <xdr:colOff>771525</xdr:colOff>
      <xdr:row>2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1C32229-8BB9-4DAA-BDBE-36D8E26A92E9}"/>
            </a:ext>
            <a:ext uri="{147F2762-F138-4A5C-976F-8EAC2B608ADB}">
              <a16:predDERef xmlns:a16="http://schemas.microsoft.com/office/drawing/2014/main" pred="{FD8A8F1A-596F-4212-9253-210279E44F23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76200"/>
          <a:ext cx="495300" cy="400050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66675</xdr:colOff>
      <xdr:row>0</xdr:row>
      <xdr:rowOff>0</xdr:rowOff>
    </xdr:from>
    <xdr:to>
      <xdr:col>12</xdr:col>
      <xdr:colOff>381000</xdr:colOff>
      <xdr:row>2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BDDB23-5663-490E-A6E1-623B1C731532}"/>
            </a:ext>
            <a:ext uri="{147F2762-F138-4A5C-976F-8EAC2B608ADB}">
              <a16:predDERef xmlns:a16="http://schemas.microsoft.com/office/drawing/2014/main" pred="{2EC09294-E9C6-4C3D-95A2-80BECD7E4D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53800" y="0"/>
          <a:ext cx="923925" cy="533400"/>
        </a:xfrm>
        <a:prstGeom prst="rect">
          <a:avLst/>
        </a:prstGeom>
      </xdr:spPr>
    </xdr:pic>
    <xdr:clientData/>
  </xdr:twoCellAnchor>
  <xdr:twoCellAnchor editAs="oneCell">
    <xdr:from>
      <xdr:col>1</xdr:col>
      <xdr:colOff>276225</xdr:colOff>
      <xdr:row>0</xdr:row>
      <xdr:rowOff>76200</xdr:rowOff>
    </xdr:from>
    <xdr:to>
      <xdr:col>1</xdr:col>
      <xdr:colOff>771525</xdr:colOff>
      <xdr:row>2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217CBCC-4F00-45C2-A678-5375EBD1AF59}"/>
            </a:ext>
            <a:ext uri="{147F2762-F138-4A5C-976F-8EAC2B608ADB}">
              <a16:predDERef xmlns:a16="http://schemas.microsoft.com/office/drawing/2014/main" pred="{28BDDB23-5663-490E-A6E1-623B1C731532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76200"/>
          <a:ext cx="495300" cy="400050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66675</xdr:colOff>
      <xdr:row>0</xdr:row>
      <xdr:rowOff>0</xdr:rowOff>
    </xdr:from>
    <xdr:to>
      <xdr:col>12</xdr:col>
      <xdr:colOff>381000</xdr:colOff>
      <xdr:row>2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581D0C-8256-43AF-B44E-B0FF07A702BD}"/>
            </a:ext>
            <a:ext uri="{147F2762-F138-4A5C-976F-8EAC2B608ADB}">
              <a16:predDERef xmlns:a16="http://schemas.microsoft.com/office/drawing/2014/main" pred="{2EC09294-E9C6-4C3D-95A2-80BECD7E4D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96625" y="0"/>
          <a:ext cx="923925" cy="533400"/>
        </a:xfrm>
        <a:prstGeom prst="rect">
          <a:avLst/>
        </a:prstGeom>
      </xdr:spPr>
    </xdr:pic>
    <xdr:clientData/>
  </xdr:twoCellAnchor>
  <xdr:twoCellAnchor editAs="oneCell">
    <xdr:from>
      <xdr:col>1</xdr:col>
      <xdr:colOff>276225</xdr:colOff>
      <xdr:row>0</xdr:row>
      <xdr:rowOff>76200</xdr:rowOff>
    </xdr:from>
    <xdr:to>
      <xdr:col>1</xdr:col>
      <xdr:colOff>771525</xdr:colOff>
      <xdr:row>2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ECEDB6A-55BE-4B39-9BA6-D2A6BB9E861B}"/>
            </a:ext>
            <a:ext uri="{147F2762-F138-4A5C-976F-8EAC2B608ADB}">
              <a16:predDERef xmlns:a16="http://schemas.microsoft.com/office/drawing/2014/main" pred="{30581D0C-8256-43AF-B44E-B0FF07A702BD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76200"/>
          <a:ext cx="495300" cy="400050"/>
        </a:xfrm>
        <a:prstGeom prst="rect">
          <a:avLst/>
        </a:prstGeom>
        <a:noFill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66675</xdr:colOff>
      <xdr:row>0</xdr:row>
      <xdr:rowOff>0</xdr:rowOff>
    </xdr:from>
    <xdr:to>
      <xdr:col>12</xdr:col>
      <xdr:colOff>381000</xdr:colOff>
      <xdr:row>2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6290FC-80DE-4594-B2D4-2BA2F0811F44}"/>
            </a:ext>
            <a:ext uri="{147F2762-F138-4A5C-976F-8EAC2B608ADB}">
              <a16:predDERef xmlns:a16="http://schemas.microsoft.com/office/drawing/2014/main" pred="{2EC09294-E9C6-4C3D-95A2-80BECD7E4D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53800" y="0"/>
          <a:ext cx="923925" cy="533400"/>
        </a:xfrm>
        <a:prstGeom prst="rect">
          <a:avLst/>
        </a:prstGeom>
      </xdr:spPr>
    </xdr:pic>
    <xdr:clientData/>
  </xdr:twoCellAnchor>
  <xdr:twoCellAnchor editAs="oneCell">
    <xdr:from>
      <xdr:col>1</xdr:col>
      <xdr:colOff>276225</xdr:colOff>
      <xdr:row>0</xdr:row>
      <xdr:rowOff>76200</xdr:rowOff>
    </xdr:from>
    <xdr:to>
      <xdr:col>1</xdr:col>
      <xdr:colOff>771525</xdr:colOff>
      <xdr:row>2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8438788-B24D-4968-9104-77873BCA79B1}"/>
            </a:ext>
            <a:ext uri="{147F2762-F138-4A5C-976F-8EAC2B608ADB}">
              <a16:predDERef xmlns:a16="http://schemas.microsoft.com/office/drawing/2014/main" pred="{3D6290FC-80DE-4594-B2D4-2BA2F0811F44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76200"/>
          <a:ext cx="495300" cy="400050"/>
        </a:xfrm>
        <a:prstGeom prst="rect">
          <a:avLst/>
        </a:prstGeom>
        <a:noFill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66675</xdr:colOff>
      <xdr:row>0</xdr:row>
      <xdr:rowOff>0</xdr:rowOff>
    </xdr:from>
    <xdr:to>
      <xdr:col>12</xdr:col>
      <xdr:colOff>381000</xdr:colOff>
      <xdr:row>2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397889-3B10-4CD7-8061-F537D0CDC703}"/>
            </a:ext>
            <a:ext uri="{147F2762-F138-4A5C-976F-8EAC2B608ADB}">
              <a16:predDERef xmlns:a16="http://schemas.microsoft.com/office/drawing/2014/main" pred="{2EC09294-E9C6-4C3D-95A2-80BECD7E4D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96625" y="0"/>
          <a:ext cx="923925" cy="533400"/>
        </a:xfrm>
        <a:prstGeom prst="rect">
          <a:avLst/>
        </a:prstGeom>
      </xdr:spPr>
    </xdr:pic>
    <xdr:clientData/>
  </xdr:twoCellAnchor>
  <xdr:twoCellAnchor editAs="oneCell">
    <xdr:from>
      <xdr:col>1</xdr:col>
      <xdr:colOff>276225</xdr:colOff>
      <xdr:row>0</xdr:row>
      <xdr:rowOff>76200</xdr:rowOff>
    </xdr:from>
    <xdr:to>
      <xdr:col>1</xdr:col>
      <xdr:colOff>771525</xdr:colOff>
      <xdr:row>2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4484E3-98FA-4100-A289-E08481267629}"/>
            </a:ext>
            <a:ext uri="{147F2762-F138-4A5C-976F-8EAC2B608ADB}">
              <a16:predDERef xmlns:a16="http://schemas.microsoft.com/office/drawing/2014/main" pred="{63397889-3B10-4CD7-8061-F537D0CDC703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76200"/>
          <a:ext cx="495300" cy="400050"/>
        </a:xfrm>
        <a:prstGeom prst="rect">
          <a:avLst/>
        </a:prstGeom>
        <a:noFill/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66675</xdr:colOff>
      <xdr:row>0</xdr:row>
      <xdr:rowOff>0</xdr:rowOff>
    </xdr:from>
    <xdr:to>
      <xdr:col>12</xdr:col>
      <xdr:colOff>381000</xdr:colOff>
      <xdr:row>2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12AD9C-DE6F-4106-901D-1E9E7CE5FEB9}"/>
            </a:ext>
            <a:ext uri="{147F2762-F138-4A5C-976F-8EAC2B608ADB}">
              <a16:predDERef xmlns:a16="http://schemas.microsoft.com/office/drawing/2014/main" pred="{2EC09294-E9C6-4C3D-95A2-80BECD7E4D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91825" y="0"/>
          <a:ext cx="923925" cy="533400"/>
        </a:xfrm>
        <a:prstGeom prst="rect">
          <a:avLst/>
        </a:prstGeom>
      </xdr:spPr>
    </xdr:pic>
    <xdr:clientData/>
  </xdr:twoCellAnchor>
  <xdr:twoCellAnchor editAs="oneCell">
    <xdr:from>
      <xdr:col>1</xdr:col>
      <xdr:colOff>276225</xdr:colOff>
      <xdr:row>0</xdr:row>
      <xdr:rowOff>76200</xdr:rowOff>
    </xdr:from>
    <xdr:to>
      <xdr:col>1</xdr:col>
      <xdr:colOff>771525</xdr:colOff>
      <xdr:row>2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216E6E2-7F86-4C38-A68B-5DF87D982C7D}"/>
            </a:ext>
            <a:ext uri="{147F2762-F138-4A5C-976F-8EAC2B608ADB}">
              <a16:predDERef xmlns:a16="http://schemas.microsoft.com/office/drawing/2014/main" pred="{2612AD9C-DE6F-4106-901D-1E9E7CE5FEB9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76200"/>
          <a:ext cx="495300" cy="400050"/>
        </a:xfrm>
        <a:prstGeom prst="rect">
          <a:avLst/>
        </a:prstGeom>
        <a:noFill/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66675</xdr:colOff>
      <xdr:row>0</xdr:row>
      <xdr:rowOff>0</xdr:rowOff>
    </xdr:from>
    <xdr:to>
      <xdr:col>12</xdr:col>
      <xdr:colOff>381000</xdr:colOff>
      <xdr:row>2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DEB2D5-2404-4F49-904F-342C83B1EFB8}"/>
            </a:ext>
            <a:ext uri="{147F2762-F138-4A5C-976F-8EAC2B608ADB}">
              <a16:predDERef xmlns:a16="http://schemas.microsoft.com/office/drawing/2014/main" pred="{2EC09294-E9C6-4C3D-95A2-80BECD7E4D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3300" y="0"/>
          <a:ext cx="923925" cy="533400"/>
        </a:xfrm>
        <a:prstGeom prst="rect">
          <a:avLst/>
        </a:prstGeom>
      </xdr:spPr>
    </xdr:pic>
    <xdr:clientData/>
  </xdr:twoCellAnchor>
  <xdr:twoCellAnchor editAs="oneCell">
    <xdr:from>
      <xdr:col>1</xdr:col>
      <xdr:colOff>276225</xdr:colOff>
      <xdr:row>0</xdr:row>
      <xdr:rowOff>76200</xdr:rowOff>
    </xdr:from>
    <xdr:to>
      <xdr:col>1</xdr:col>
      <xdr:colOff>771525</xdr:colOff>
      <xdr:row>2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7C9825C-A7B0-4386-956B-9F8CFDA1CDAE}"/>
            </a:ext>
            <a:ext uri="{147F2762-F138-4A5C-976F-8EAC2B608ADB}">
              <a16:predDERef xmlns:a16="http://schemas.microsoft.com/office/drawing/2014/main" pred="{61DEB2D5-2404-4F49-904F-342C83B1EFB8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76200"/>
          <a:ext cx="495300" cy="40005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F5478-10E1-417C-8D8A-C3330EF2570C}">
  <dimension ref="A1:L42"/>
  <sheetViews>
    <sheetView topLeftCell="A30" workbookViewId="0">
      <selection activeCell="C42" sqref="C42:E42"/>
    </sheetView>
  </sheetViews>
  <sheetFormatPr defaultRowHeight="15"/>
  <cols>
    <col min="1" max="1" width="48.5703125" bestFit="1" customWidth="1"/>
    <col min="2" max="2" width="19" bestFit="1" customWidth="1"/>
    <col min="3" max="3" width="17.42578125" bestFit="1" customWidth="1"/>
    <col min="4" max="4" width="25.85546875" bestFit="1" customWidth="1"/>
    <col min="5" max="5" width="21.7109375" bestFit="1" customWidth="1"/>
    <col min="7" max="7" width="4.42578125" bestFit="1" customWidth="1"/>
    <col min="8" max="8" width="16.5703125" bestFit="1" customWidth="1"/>
  </cols>
  <sheetData>
    <row r="1" spans="1:12">
      <c r="A1" s="79"/>
      <c r="B1" s="80"/>
      <c r="C1" s="80"/>
      <c r="D1" s="80"/>
      <c r="E1" s="80"/>
      <c r="F1" s="80"/>
      <c r="G1" s="80"/>
      <c r="H1" s="80"/>
      <c r="I1" s="80"/>
      <c r="J1" s="80"/>
      <c r="K1" s="81"/>
      <c r="L1" s="81"/>
    </row>
    <row r="2" spans="1:12">
      <c r="A2" s="79"/>
      <c r="B2" s="80"/>
      <c r="C2" s="80"/>
      <c r="D2" s="80"/>
      <c r="E2" s="80"/>
      <c r="F2" s="80"/>
      <c r="G2" s="80"/>
      <c r="H2" s="80"/>
      <c r="I2" s="80"/>
      <c r="J2" s="80"/>
      <c r="K2" s="81"/>
      <c r="L2" s="81"/>
    </row>
    <row r="3" spans="1:12">
      <c r="A3" s="79"/>
      <c r="B3" s="80"/>
      <c r="C3" s="80"/>
      <c r="D3" s="80"/>
      <c r="E3" s="80"/>
      <c r="F3" s="80"/>
      <c r="G3" s="80"/>
      <c r="H3" s="80"/>
      <c r="I3" s="80"/>
      <c r="J3" s="80"/>
      <c r="K3" s="81"/>
      <c r="L3" s="81"/>
    </row>
    <row r="4" spans="1:12">
      <c r="A4" s="82"/>
      <c r="B4" s="83"/>
      <c r="C4" s="83"/>
      <c r="D4" s="83"/>
      <c r="E4" s="83"/>
      <c r="F4" s="83"/>
      <c r="G4" s="83"/>
      <c r="H4" s="83"/>
      <c r="I4" s="83"/>
      <c r="J4" s="83"/>
      <c r="K4" s="84" t="s">
        <v>0</v>
      </c>
      <c r="L4" s="84"/>
    </row>
    <row r="5" spans="1:12">
      <c r="A5" s="82"/>
      <c r="B5" s="83"/>
      <c r="C5" s="83"/>
      <c r="D5" s="83"/>
      <c r="E5" s="83"/>
      <c r="F5" s="121"/>
      <c r="G5" s="121"/>
      <c r="H5" s="121"/>
      <c r="I5" s="121"/>
      <c r="J5" s="121"/>
      <c r="K5" s="122" t="s">
        <v>1</v>
      </c>
      <c r="L5" s="34" t="s">
        <v>2</v>
      </c>
    </row>
    <row r="6" spans="1:12">
      <c r="F6" s="124"/>
      <c r="G6" s="124"/>
      <c r="H6" s="124"/>
      <c r="I6" s="124"/>
      <c r="J6" s="124"/>
      <c r="K6" s="124"/>
    </row>
    <row r="7" spans="1:12">
      <c r="F7" s="124"/>
      <c r="G7" s="126"/>
      <c r="H7" s="126"/>
      <c r="I7" s="124"/>
      <c r="J7" s="124"/>
      <c r="K7" s="124"/>
    </row>
    <row r="8" spans="1:12">
      <c r="F8" s="124"/>
      <c r="G8" s="127"/>
      <c r="H8" s="124"/>
      <c r="I8" s="124"/>
      <c r="J8" s="124"/>
      <c r="K8" s="124"/>
    </row>
    <row r="9" spans="1:12">
      <c r="F9" s="124"/>
      <c r="G9" s="124"/>
      <c r="H9" s="124"/>
      <c r="I9" s="124"/>
      <c r="J9" s="124"/>
      <c r="K9" s="124"/>
    </row>
    <row r="10" spans="1:12">
      <c r="F10" s="124"/>
      <c r="G10" s="124"/>
      <c r="H10" s="124"/>
      <c r="I10" s="124"/>
      <c r="J10" s="124"/>
      <c r="K10" s="124"/>
    </row>
    <row r="11" spans="1:12">
      <c r="F11" s="124"/>
      <c r="G11" s="124"/>
      <c r="H11" s="124"/>
      <c r="I11" s="124"/>
      <c r="J11" s="124"/>
      <c r="K11" s="124"/>
    </row>
    <row r="12" spans="1:12">
      <c r="F12" s="124"/>
      <c r="G12" s="124"/>
      <c r="H12" s="124"/>
      <c r="I12" s="124"/>
      <c r="J12" s="124"/>
      <c r="K12" s="124"/>
    </row>
    <row r="13" spans="1:12">
      <c r="F13" s="124"/>
      <c r="G13" s="124"/>
      <c r="H13" s="124"/>
      <c r="I13" s="124"/>
      <c r="J13" s="124"/>
      <c r="K13" s="124"/>
    </row>
    <row r="14" spans="1:12">
      <c r="A14" s="85" t="s">
        <v>3</v>
      </c>
      <c r="B14" s="86"/>
      <c r="C14" s="86"/>
      <c r="D14" s="86"/>
      <c r="E14" s="86"/>
      <c r="F14" s="124"/>
      <c r="G14" s="124"/>
      <c r="H14" s="124"/>
      <c r="I14" s="124"/>
      <c r="J14" s="124"/>
      <c r="K14" s="124"/>
    </row>
    <row r="15" spans="1:12" ht="30.75">
      <c r="A15" s="46" t="s">
        <v>4</v>
      </c>
      <c r="B15" s="48" t="s">
        <v>5</v>
      </c>
      <c r="C15" s="46" t="s">
        <v>6</v>
      </c>
      <c r="D15" s="46" t="s">
        <v>7</v>
      </c>
      <c r="E15" s="125" t="s">
        <v>8</v>
      </c>
      <c r="F15" s="124"/>
      <c r="G15" s="124"/>
      <c r="H15" s="124"/>
      <c r="I15" s="124"/>
      <c r="J15" s="124"/>
      <c r="K15" s="124"/>
    </row>
    <row r="16" spans="1:12">
      <c r="A16" s="49" t="s">
        <v>9</v>
      </c>
      <c r="B16" s="2" t="s">
        <v>10</v>
      </c>
      <c r="C16" s="2">
        <v>1</v>
      </c>
      <c r="D16" s="2">
        <v>30</v>
      </c>
      <c r="E16" s="4">
        <v>0</v>
      </c>
      <c r="F16" s="124"/>
      <c r="G16" s="124"/>
      <c r="H16" s="124"/>
      <c r="I16" s="124"/>
      <c r="J16" s="124"/>
      <c r="K16" s="124"/>
    </row>
    <row r="17" spans="1:5">
      <c r="A17" s="49" t="s">
        <v>11</v>
      </c>
      <c r="B17" s="2" t="s">
        <v>12</v>
      </c>
      <c r="C17" s="2">
        <v>1</v>
      </c>
      <c r="D17" s="2">
        <v>30</v>
      </c>
      <c r="E17" s="2">
        <v>0</v>
      </c>
    </row>
    <row r="18" spans="1:5" ht="30.75">
      <c r="A18" s="49" t="s">
        <v>13</v>
      </c>
      <c r="B18" s="2" t="s">
        <v>14</v>
      </c>
      <c r="C18" s="2">
        <v>1</v>
      </c>
      <c r="D18" s="2">
        <v>25</v>
      </c>
      <c r="E18" s="2">
        <v>0</v>
      </c>
    </row>
    <row r="19" spans="1:5">
      <c r="A19" s="49" t="s">
        <v>15</v>
      </c>
      <c r="B19" s="2" t="s">
        <v>16</v>
      </c>
      <c r="C19" s="2">
        <v>1</v>
      </c>
      <c r="D19" s="2">
        <v>25</v>
      </c>
      <c r="E19" s="2">
        <v>0</v>
      </c>
    </row>
    <row r="20" spans="1:5">
      <c r="A20" s="49" t="s">
        <v>17</v>
      </c>
      <c r="B20" s="2" t="s">
        <v>18</v>
      </c>
      <c r="C20" s="2">
        <v>1</v>
      </c>
      <c r="D20" s="2">
        <v>15</v>
      </c>
      <c r="E20" s="2">
        <v>0</v>
      </c>
    </row>
    <row r="21" spans="1:5">
      <c r="A21" s="49" t="s">
        <v>19</v>
      </c>
      <c r="B21" s="2" t="s">
        <v>10</v>
      </c>
      <c r="C21" s="2">
        <v>1</v>
      </c>
      <c r="D21" s="2">
        <v>30</v>
      </c>
      <c r="E21" s="2">
        <v>0</v>
      </c>
    </row>
    <row r="22" spans="1:5">
      <c r="A22" s="49" t="s">
        <v>20</v>
      </c>
      <c r="B22" s="2" t="s">
        <v>21</v>
      </c>
      <c r="C22" s="2">
        <v>1</v>
      </c>
      <c r="D22" s="2">
        <v>25</v>
      </c>
      <c r="E22" s="2">
        <v>0</v>
      </c>
    </row>
    <row r="23" spans="1:5">
      <c r="A23" s="49" t="s">
        <v>22</v>
      </c>
      <c r="B23" s="2" t="s">
        <v>21</v>
      </c>
      <c r="C23" s="2">
        <v>1</v>
      </c>
      <c r="D23" s="2">
        <v>25</v>
      </c>
      <c r="E23" s="2">
        <v>0</v>
      </c>
    </row>
    <row r="24" spans="1:5">
      <c r="A24" s="49" t="s">
        <v>23</v>
      </c>
      <c r="B24" s="2" t="s">
        <v>12</v>
      </c>
      <c r="C24" s="2">
        <v>1</v>
      </c>
      <c r="D24" s="2">
        <v>25</v>
      </c>
      <c r="E24" s="2">
        <v>0</v>
      </c>
    </row>
    <row r="25" spans="1:5">
      <c r="A25" s="50" t="s">
        <v>24</v>
      </c>
      <c r="B25" s="2" t="s">
        <v>21</v>
      </c>
      <c r="C25" s="2">
        <v>1</v>
      </c>
      <c r="D25" s="2">
        <v>15</v>
      </c>
      <c r="E25" s="2">
        <v>0</v>
      </c>
    </row>
    <row r="26" spans="1:5">
      <c r="A26" s="51" t="s">
        <v>25</v>
      </c>
      <c r="B26" s="2" t="s">
        <v>21</v>
      </c>
      <c r="C26" s="2">
        <v>1</v>
      </c>
      <c r="D26" s="2">
        <v>30</v>
      </c>
      <c r="E26" s="2">
        <v>0</v>
      </c>
    </row>
    <row r="27" spans="1:5">
      <c r="A27" s="51" t="s">
        <v>26</v>
      </c>
      <c r="B27" s="2" t="s">
        <v>21</v>
      </c>
      <c r="C27" s="2">
        <v>1</v>
      </c>
      <c r="D27" s="2">
        <v>25</v>
      </c>
      <c r="E27" s="2">
        <v>0</v>
      </c>
    </row>
    <row r="28" spans="1:5">
      <c r="A28" s="50" t="s">
        <v>27</v>
      </c>
      <c r="B28" s="2" t="s">
        <v>18</v>
      </c>
      <c r="C28" s="2">
        <v>1</v>
      </c>
      <c r="D28" s="2">
        <v>25</v>
      </c>
      <c r="E28" s="2">
        <v>0</v>
      </c>
    </row>
    <row r="29" spans="1:5">
      <c r="A29" s="50" t="s">
        <v>28</v>
      </c>
      <c r="B29" s="2" t="s">
        <v>21</v>
      </c>
      <c r="C29" s="2">
        <v>1</v>
      </c>
      <c r="D29" s="2">
        <v>15</v>
      </c>
      <c r="E29" s="2">
        <v>0</v>
      </c>
    </row>
    <row r="30" spans="1:5">
      <c r="A30" s="52" t="s">
        <v>29</v>
      </c>
      <c r="B30" s="2" t="s">
        <v>21</v>
      </c>
      <c r="C30" s="2">
        <v>1</v>
      </c>
      <c r="D30" s="2">
        <v>10</v>
      </c>
      <c r="E30" s="2">
        <v>0</v>
      </c>
    </row>
    <row r="31" spans="1:5" ht="30.75">
      <c r="A31" s="49" t="s">
        <v>30</v>
      </c>
      <c r="B31" s="2" t="s">
        <v>12</v>
      </c>
      <c r="C31" s="2">
        <v>1</v>
      </c>
      <c r="D31" s="2">
        <v>30</v>
      </c>
      <c r="E31" s="2">
        <v>0</v>
      </c>
    </row>
    <row r="32" spans="1:5">
      <c r="A32" s="53" t="s">
        <v>31</v>
      </c>
      <c r="B32" s="2" t="s">
        <v>18</v>
      </c>
      <c r="C32" s="2">
        <v>1</v>
      </c>
      <c r="D32" s="2">
        <v>25</v>
      </c>
      <c r="E32" s="2">
        <v>0</v>
      </c>
    </row>
    <row r="33" spans="1:5" ht="30.75">
      <c r="A33" s="49" t="s">
        <v>32</v>
      </c>
      <c r="B33" s="2" t="s">
        <v>21</v>
      </c>
      <c r="C33" s="2">
        <v>1</v>
      </c>
      <c r="D33" s="2">
        <v>25</v>
      </c>
      <c r="E33" s="2">
        <v>0</v>
      </c>
    </row>
    <row r="34" spans="1:5">
      <c r="A34" s="49" t="s">
        <v>33</v>
      </c>
      <c r="B34" s="2" t="s">
        <v>21</v>
      </c>
      <c r="C34" s="2">
        <v>1</v>
      </c>
      <c r="D34" s="2">
        <v>15</v>
      </c>
      <c r="E34" s="2">
        <v>0</v>
      </c>
    </row>
    <row r="35" spans="1:5">
      <c r="A35" s="49" t="s">
        <v>34</v>
      </c>
      <c r="B35" s="2" t="s">
        <v>35</v>
      </c>
      <c r="C35" s="2">
        <v>1</v>
      </c>
      <c r="D35" s="2">
        <v>30</v>
      </c>
      <c r="E35" s="2">
        <v>0</v>
      </c>
    </row>
    <row r="36" spans="1:5">
      <c r="A36" s="49" t="s">
        <v>36</v>
      </c>
      <c r="B36" s="2" t="s">
        <v>21</v>
      </c>
      <c r="C36" s="2">
        <v>1</v>
      </c>
      <c r="D36" s="2">
        <v>15</v>
      </c>
      <c r="E36" s="2">
        <v>0</v>
      </c>
    </row>
    <row r="37" spans="1:5">
      <c r="A37" s="49" t="s">
        <v>37</v>
      </c>
      <c r="B37" s="2" t="s">
        <v>18</v>
      </c>
      <c r="C37" s="2">
        <v>1</v>
      </c>
      <c r="D37" s="2">
        <v>10</v>
      </c>
      <c r="E37" s="2">
        <v>0</v>
      </c>
    </row>
    <row r="38" spans="1:5">
      <c r="A38" s="49" t="s">
        <v>38</v>
      </c>
      <c r="B38" s="2" t="s">
        <v>21</v>
      </c>
      <c r="C38" s="2">
        <v>1</v>
      </c>
      <c r="D38" s="2">
        <v>25</v>
      </c>
      <c r="E38" s="2">
        <v>0</v>
      </c>
    </row>
    <row r="39" spans="1:5">
      <c r="A39" s="49" t="s">
        <v>39</v>
      </c>
      <c r="B39" s="2" t="s">
        <v>21</v>
      </c>
      <c r="C39" s="2">
        <v>1</v>
      </c>
      <c r="D39" s="2">
        <v>10</v>
      </c>
      <c r="E39" s="2">
        <v>0</v>
      </c>
    </row>
    <row r="40" spans="1:5">
      <c r="A40" s="49" t="s">
        <v>40</v>
      </c>
      <c r="B40" s="2" t="s">
        <v>21</v>
      </c>
      <c r="C40" s="6">
        <v>1</v>
      </c>
      <c r="D40" s="6">
        <v>10</v>
      </c>
      <c r="E40" s="6">
        <v>0</v>
      </c>
    </row>
    <row r="41" spans="1:5">
      <c r="B41" s="9"/>
      <c r="C41" s="6">
        <f>SUM(C16:C40)</f>
        <v>25</v>
      </c>
      <c r="D41" s="6">
        <f t="shared" ref="C41:E41" si="0">SUM(D16:D40)</f>
        <v>545</v>
      </c>
      <c r="E41" s="6">
        <f t="shared" si="0"/>
        <v>0</v>
      </c>
    </row>
    <row r="42" spans="1:5">
      <c r="C42" s="2">
        <f t="shared" ref="C42:E42" si="1">SUM(C41)</f>
        <v>25</v>
      </c>
      <c r="D42" s="2">
        <f t="shared" si="1"/>
        <v>545</v>
      </c>
      <c r="E42" s="2">
        <f t="shared" si="1"/>
        <v>0</v>
      </c>
    </row>
  </sheetData>
  <mergeCells count="8">
    <mergeCell ref="A14:E14"/>
    <mergeCell ref="G7:H7"/>
    <mergeCell ref="A1:A3"/>
    <mergeCell ref="B1:J3"/>
    <mergeCell ref="K1:L3"/>
    <mergeCell ref="A4:A5"/>
    <mergeCell ref="B4:J5"/>
    <mergeCell ref="K4:L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FC3E3-99D6-4759-8B9F-6F12D40715D2}">
  <sheetPr>
    <pageSetUpPr fitToPage="1"/>
  </sheetPr>
  <dimension ref="A1:M68"/>
  <sheetViews>
    <sheetView tabSelected="1" workbookViewId="0">
      <selection activeCell="J14" sqref="J14"/>
    </sheetView>
  </sheetViews>
  <sheetFormatPr defaultRowHeight="15"/>
  <cols>
    <col min="1" max="1" width="35.85546875" customWidth="1"/>
    <col min="2" max="2" width="19.28515625" customWidth="1"/>
    <col min="3" max="3" width="17.42578125" bestFit="1" customWidth="1"/>
    <col min="4" max="4" width="10.42578125" customWidth="1"/>
    <col min="8" max="8" width="16.5703125" bestFit="1" customWidth="1"/>
  </cols>
  <sheetData>
    <row r="1" spans="1:13" ht="15" customHeight="1">
      <c r="A1" s="79"/>
      <c r="B1" s="80" t="s">
        <v>41</v>
      </c>
      <c r="C1" s="80"/>
      <c r="D1" s="80"/>
      <c r="E1" s="80"/>
      <c r="F1" s="80"/>
      <c r="G1" s="80"/>
      <c r="H1" s="80"/>
      <c r="I1" s="80"/>
      <c r="J1" s="81"/>
      <c r="K1" s="81"/>
    </row>
    <row r="2" spans="1:13">
      <c r="A2" s="79"/>
      <c r="B2" s="80"/>
      <c r="C2" s="80"/>
      <c r="D2" s="80"/>
      <c r="E2" s="80"/>
      <c r="F2" s="80"/>
      <c r="G2" s="80"/>
      <c r="H2" s="80"/>
      <c r="I2" s="80"/>
      <c r="J2" s="81"/>
      <c r="K2" s="81"/>
    </row>
    <row r="3" spans="1:13">
      <c r="A3" s="79"/>
      <c r="B3" s="80"/>
      <c r="C3" s="80"/>
      <c r="D3" s="80"/>
      <c r="E3" s="80"/>
      <c r="F3" s="80"/>
      <c r="G3" s="80"/>
      <c r="H3" s="80"/>
      <c r="I3" s="80"/>
      <c r="J3" s="81"/>
      <c r="K3" s="81"/>
    </row>
    <row r="4" spans="1:13" ht="15" customHeight="1">
      <c r="A4" s="82"/>
      <c r="B4" s="83" t="s">
        <v>42</v>
      </c>
      <c r="C4" s="83"/>
      <c r="D4" s="83"/>
      <c r="E4" s="83"/>
      <c r="F4" s="83"/>
      <c r="G4" s="83"/>
      <c r="H4" s="83"/>
      <c r="I4" s="83"/>
      <c r="J4" s="84" t="s">
        <v>0</v>
      </c>
      <c r="K4" s="84"/>
    </row>
    <row r="5" spans="1:13">
      <c r="A5" s="82"/>
      <c r="B5" s="83"/>
      <c r="C5" s="83"/>
      <c r="D5" s="83"/>
      <c r="E5" s="83"/>
      <c r="F5" s="121"/>
      <c r="G5" s="121"/>
      <c r="H5" s="121"/>
      <c r="I5" s="121"/>
      <c r="J5" s="122" t="s">
        <v>1</v>
      </c>
      <c r="K5" s="123" t="s">
        <v>2</v>
      </c>
    </row>
    <row r="6" spans="1:13">
      <c r="F6" s="124"/>
      <c r="G6" s="124"/>
      <c r="H6" s="124"/>
      <c r="I6" s="124"/>
      <c r="J6" s="124"/>
      <c r="K6" s="124"/>
      <c r="L6" s="124"/>
      <c r="M6" s="124"/>
    </row>
    <row r="7" spans="1:13">
      <c r="F7" s="124"/>
      <c r="G7" s="128"/>
      <c r="H7" s="128"/>
      <c r="I7" s="124"/>
      <c r="J7" s="128"/>
      <c r="K7" s="128"/>
      <c r="L7" s="124"/>
      <c r="M7" s="124"/>
    </row>
    <row r="8" spans="1:13">
      <c r="F8" s="124"/>
      <c r="G8" s="124"/>
      <c r="H8" s="124"/>
      <c r="I8" s="124"/>
      <c r="J8" s="124"/>
      <c r="K8" s="124"/>
      <c r="L8" s="124"/>
      <c r="M8" s="124"/>
    </row>
    <row r="9" spans="1:13">
      <c r="F9" s="124"/>
      <c r="G9" s="124"/>
      <c r="H9" s="124"/>
      <c r="I9" s="124"/>
      <c r="J9" s="124"/>
      <c r="K9" s="124"/>
      <c r="L9" s="124"/>
      <c r="M9" s="124"/>
    </row>
    <row r="10" spans="1:13">
      <c r="F10" s="124"/>
      <c r="G10" s="124"/>
      <c r="H10" s="124"/>
      <c r="I10" s="124"/>
      <c r="J10" s="124"/>
      <c r="K10" s="124"/>
      <c r="L10" s="124"/>
      <c r="M10" s="124"/>
    </row>
    <row r="11" spans="1:13">
      <c r="F11" s="124"/>
      <c r="G11" s="124"/>
      <c r="H11" s="124"/>
      <c r="I11" s="124"/>
      <c r="J11" s="124"/>
      <c r="K11" s="124"/>
      <c r="L11" s="124"/>
      <c r="M11" s="124"/>
    </row>
    <row r="12" spans="1:13">
      <c r="F12" s="124"/>
      <c r="G12" s="124"/>
      <c r="H12" s="124"/>
      <c r="I12" s="124"/>
      <c r="J12" s="124"/>
      <c r="K12" s="124"/>
      <c r="L12" s="124"/>
      <c r="M12" s="124"/>
    </row>
    <row r="13" spans="1:13">
      <c r="A13" s="87" t="s">
        <v>3</v>
      </c>
      <c r="B13" s="88"/>
      <c r="C13" s="88"/>
      <c r="D13" s="88"/>
      <c r="E13" s="88"/>
      <c r="F13" s="124"/>
      <c r="G13" s="124"/>
      <c r="H13" s="124"/>
      <c r="I13" s="124"/>
      <c r="J13" s="124"/>
      <c r="K13" s="124"/>
      <c r="L13" s="124"/>
      <c r="M13" s="124"/>
    </row>
    <row r="14" spans="1:13" ht="60.75">
      <c r="A14" s="46" t="s">
        <v>4</v>
      </c>
      <c r="B14" s="48" t="s">
        <v>5</v>
      </c>
      <c r="C14" s="46" t="s">
        <v>6</v>
      </c>
      <c r="D14" s="46" t="s">
        <v>7</v>
      </c>
      <c r="E14" s="120" t="s">
        <v>8</v>
      </c>
      <c r="F14" s="124"/>
      <c r="G14" s="124"/>
      <c r="H14" s="124"/>
      <c r="I14" s="124"/>
      <c r="J14" s="124"/>
      <c r="K14" s="124"/>
      <c r="L14" s="124"/>
      <c r="M14" s="124"/>
    </row>
    <row r="15" spans="1:13">
      <c r="A15" s="13" t="s">
        <v>43</v>
      </c>
      <c r="B15" s="3" t="s">
        <v>10</v>
      </c>
      <c r="C15" s="44">
        <v>1</v>
      </c>
      <c r="D15" s="64">
        <v>20</v>
      </c>
      <c r="E15" s="2">
        <v>0</v>
      </c>
    </row>
    <row r="16" spans="1:13">
      <c r="A16" s="13" t="s">
        <v>44</v>
      </c>
      <c r="B16" s="2" t="s">
        <v>18</v>
      </c>
      <c r="C16" s="28">
        <v>1</v>
      </c>
      <c r="D16" s="65">
        <v>21</v>
      </c>
      <c r="E16" s="2">
        <v>0</v>
      </c>
    </row>
    <row r="17" spans="1:5">
      <c r="A17" s="13" t="s">
        <v>45</v>
      </c>
      <c r="B17" s="2" t="s">
        <v>18</v>
      </c>
      <c r="C17" s="28">
        <v>1</v>
      </c>
      <c r="D17" s="65">
        <v>22</v>
      </c>
      <c r="E17" s="2">
        <v>0</v>
      </c>
    </row>
    <row r="18" spans="1:5">
      <c r="A18" s="13" t="s">
        <v>46</v>
      </c>
      <c r="B18" s="2" t="s">
        <v>10</v>
      </c>
      <c r="C18" s="28">
        <v>1</v>
      </c>
      <c r="D18" s="65">
        <v>23</v>
      </c>
      <c r="E18" s="2">
        <v>0</v>
      </c>
    </row>
    <row r="19" spans="1:5">
      <c r="A19" s="13" t="s">
        <v>47</v>
      </c>
      <c r="B19" s="2" t="s">
        <v>10</v>
      </c>
      <c r="C19" s="28">
        <v>1</v>
      </c>
      <c r="D19" s="66">
        <v>30</v>
      </c>
      <c r="E19" s="2">
        <v>0</v>
      </c>
    </row>
    <row r="20" spans="1:5">
      <c r="A20" s="13" t="s">
        <v>48</v>
      </c>
      <c r="B20" s="2" t="s">
        <v>10</v>
      </c>
      <c r="C20" s="28">
        <v>1</v>
      </c>
      <c r="D20" s="66">
        <v>15</v>
      </c>
      <c r="E20" s="2">
        <v>0</v>
      </c>
    </row>
    <row r="21" spans="1:5">
      <c r="A21" s="13" t="s">
        <v>49</v>
      </c>
      <c r="B21" s="2" t="s">
        <v>21</v>
      </c>
      <c r="C21" s="28">
        <v>1</v>
      </c>
      <c r="D21" s="66">
        <v>10</v>
      </c>
      <c r="E21" s="2">
        <v>0</v>
      </c>
    </row>
    <row r="22" spans="1:5">
      <c r="A22" s="13" t="s">
        <v>50</v>
      </c>
      <c r="B22" s="2" t="s">
        <v>21</v>
      </c>
      <c r="C22" s="28">
        <v>1</v>
      </c>
      <c r="D22" s="66">
        <v>15</v>
      </c>
      <c r="E22" s="2">
        <v>0</v>
      </c>
    </row>
    <row r="23" spans="1:5">
      <c r="A23" s="13" t="s">
        <v>51</v>
      </c>
      <c r="B23" s="2" t="s">
        <v>14</v>
      </c>
      <c r="C23" s="28">
        <v>1</v>
      </c>
      <c r="D23" s="66">
        <v>15</v>
      </c>
      <c r="E23" s="2">
        <v>0</v>
      </c>
    </row>
    <row r="24" spans="1:5">
      <c r="A24" s="13" t="s">
        <v>52</v>
      </c>
      <c r="B24" s="2" t="s">
        <v>14</v>
      </c>
      <c r="C24" s="28">
        <v>1</v>
      </c>
      <c r="D24" s="66">
        <v>15</v>
      </c>
      <c r="E24" s="2">
        <v>0</v>
      </c>
    </row>
    <row r="25" spans="1:5">
      <c r="A25" s="29" t="s">
        <v>53</v>
      </c>
      <c r="B25" s="6" t="s">
        <v>54</v>
      </c>
      <c r="C25" s="30">
        <v>2</v>
      </c>
      <c r="D25" s="67">
        <v>15</v>
      </c>
      <c r="E25" s="2">
        <v>0</v>
      </c>
    </row>
    <row r="26" spans="1:5">
      <c r="A26" s="31" t="s">
        <v>55</v>
      </c>
      <c r="B26" s="2" t="s">
        <v>18</v>
      </c>
      <c r="C26" s="2">
        <v>6</v>
      </c>
      <c r="D26" s="4">
        <v>30</v>
      </c>
      <c r="E26" s="2">
        <v>0</v>
      </c>
    </row>
    <row r="27" spans="1:5">
      <c r="A27" s="32" t="s">
        <v>56</v>
      </c>
      <c r="B27" s="3" t="s">
        <v>21</v>
      </c>
      <c r="C27" s="14">
        <v>2</v>
      </c>
      <c r="D27" s="68">
        <f>6*40</f>
        <v>240</v>
      </c>
      <c r="E27" s="2">
        <v>0</v>
      </c>
    </row>
    <row r="28" spans="1:5">
      <c r="A28" s="6" t="s">
        <v>57</v>
      </c>
      <c r="B28" s="6" t="s">
        <v>21</v>
      </c>
      <c r="C28" s="15">
        <v>2</v>
      </c>
      <c r="D28" s="68">
        <f>6*40</f>
        <v>240</v>
      </c>
      <c r="E28" s="2">
        <v>0</v>
      </c>
    </row>
    <row r="29" spans="1:5">
      <c r="A29" s="19" t="s">
        <v>58</v>
      </c>
      <c r="B29" s="6" t="s">
        <v>21</v>
      </c>
      <c r="C29" s="2">
        <v>3</v>
      </c>
      <c r="D29" s="65">
        <v>30</v>
      </c>
      <c r="E29" s="2">
        <v>0</v>
      </c>
    </row>
    <row r="30" spans="1:5">
      <c r="A30" s="21" t="s">
        <v>59</v>
      </c>
      <c r="B30" s="6" t="s">
        <v>21</v>
      </c>
      <c r="C30" s="6">
        <v>9</v>
      </c>
      <c r="D30" s="65">
        <v>60</v>
      </c>
      <c r="E30" s="2">
        <v>0</v>
      </c>
    </row>
    <row r="31" spans="1:5">
      <c r="A31" s="15" t="s">
        <v>60</v>
      </c>
      <c r="B31" s="2" t="s">
        <v>10</v>
      </c>
      <c r="C31" s="2">
        <v>1</v>
      </c>
      <c r="D31" s="4">
        <v>10</v>
      </c>
      <c r="E31" s="2">
        <v>0</v>
      </c>
    </row>
    <row r="32" spans="1:5">
      <c r="A32" s="15" t="s">
        <v>61</v>
      </c>
      <c r="B32" s="2" t="s">
        <v>18</v>
      </c>
      <c r="C32" s="28">
        <v>1</v>
      </c>
      <c r="D32" s="65">
        <v>30</v>
      </c>
      <c r="E32" s="2">
        <v>0</v>
      </c>
    </row>
    <row r="33" spans="1:5">
      <c r="A33" s="15" t="s">
        <v>62</v>
      </c>
      <c r="B33" s="2" t="s">
        <v>18</v>
      </c>
      <c r="C33" s="28">
        <v>1</v>
      </c>
      <c r="D33" s="65">
        <v>60</v>
      </c>
      <c r="E33" s="2">
        <v>0</v>
      </c>
    </row>
    <row r="34" spans="1:5">
      <c r="A34" s="22" t="s">
        <v>63</v>
      </c>
      <c r="B34" s="6" t="s">
        <v>18</v>
      </c>
      <c r="C34" s="28">
        <v>1</v>
      </c>
      <c r="D34" s="65">
        <v>60</v>
      </c>
      <c r="E34" s="2">
        <v>0</v>
      </c>
    </row>
    <row r="35" spans="1:5">
      <c r="A35" s="15" t="s">
        <v>64</v>
      </c>
      <c r="B35" s="2" t="s">
        <v>10</v>
      </c>
      <c r="C35" s="28">
        <v>4</v>
      </c>
      <c r="D35" s="65">
        <v>10</v>
      </c>
      <c r="E35" s="2">
        <v>0</v>
      </c>
    </row>
    <row r="36" spans="1:5">
      <c r="A36" s="15" t="s">
        <v>65</v>
      </c>
      <c r="B36" s="2" t="s">
        <v>10</v>
      </c>
      <c r="C36" s="28">
        <v>6</v>
      </c>
      <c r="D36" s="65">
        <v>30</v>
      </c>
      <c r="E36" s="2">
        <v>0</v>
      </c>
    </row>
    <row r="37" spans="1:5">
      <c r="A37" s="16" t="s">
        <v>66</v>
      </c>
      <c r="B37" s="2" t="s">
        <v>10</v>
      </c>
      <c r="C37" s="28">
        <v>3</v>
      </c>
      <c r="D37" s="65">
        <v>30</v>
      </c>
      <c r="E37" s="2">
        <v>0</v>
      </c>
    </row>
    <row r="38" spans="1:5">
      <c r="A38" s="17" t="s">
        <v>67</v>
      </c>
      <c r="B38" s="6" t="s">
        <v>10</v>
      </c>
      <c r="C38" s="30">
        <v>2</v>
      </c>
      <c r="D38" s="69">
        <v>10</v>
      </c>
      <c r="E38" s="2">
        <v>0</v>
      </c>
    </row>
    <row r="39" spans="1:5">
      <c r="A39" s="25" t="s">
        <v>62</v>
      </c>
      <c r="B39" s="2" t="s">
        <v>54</v>
      </c>
      <c r="C39" s="28">
        <v>1</v>
      </c>
      <c r="D39" s="66">
        <v>50</v>
      </c>
      <c r="E39" s="2">
        <v>0</v>
      </c>
    </row>
    <row r="40" spans="1:5">
      <c r="A40" s="27" t="s">
        <v>68</v>
      </c>
      <c r="B40" s="2" t="s">
        <v>54</v>
      </c>
      <c r="C40" s="28">
        <v>1</v>
      </c>
      <c r="D40" s="65">
        <v>30</v>
      </c>
      <c r="E40" s="2">
        <v>0</v>
      </c>
    </row>
    <row r="41" spans="1:5">
      <c r="A41" s="18" t="s">
        <v>69</v>
      </c>
      <c r="B41" s="6" t="s">
        <v>54</v>
      </c>
      <c r="C41" s="30">
        <v>1</v>
      </c>
      <c r="D41" s="69">
        <v>30</v>
      </c>
      <c r="E41" s="2">
        <v>0</v>
      </c>
    </row>
    <row r="42" spans="1:5">
      <c r="A42" s="18" t="s">
        <v>62</v>
      </c>
      <c r="B42" s="6" t="s">
        <v>54</v>
      </c>
      <c r="C42" s="30">
        <v>1</v>
      </c>
      <c r="D42" s="69">
        <v>60</v>
      </c>
      <c r="E42" s="2">
        <v>0</v>
      </c>
    </row>
    <row r="43" spans="1:5">
      <c r="A43" s="28" t="s">
        <v>70</v>
      </c>
      <c r="B43" s="2" t="s">
        <v>21</v>
      </c>
      <c r="C43" s="2">
        <v>1</v>
      </c>
      <c r="D43" s="4">
        <v>20</v>
      </c>
      <c r="E43" s="2">
        <v>0</v>
      </c>
    </row>
    <row r="44" spans="1:5">
      <c r="A44" s="36" t="s">
        <v>71</v>
      </c>
      <c r="B44" s="6" t="s">
        <v>10</v>
      </c>
      <c r="C44" s="6">
        <v>1</v>
      </c>
      <c r="D44" s="7">
        <v>30</v>
      </c>
      <c r="E44" s="2">
        <v>0</v>
      </c>
    </row>
    <row r="45" spans="1:5">
      <c r="A45" s="35" t="s">
        <v>72</v>
      </c>
      <c r="B45" s="2" t="s">
        <v>10</v>
      </c>
      <c r="C45" s="2">
        <v>1</v>
      </c>
      <c r="D45" s="4">
        <v>15</v>
      </c>
      <c r="E45" s="2">
        <v>0</v>
      </c>
    </row>
    <row r="46" spans="1:5">
      <c r="A46" s="35" t="s">
        <v>73</v>
      </c>
      <c r="B46" s="2" t="s">
        <v>10</v>
      </c>
      <c r="C46" s="2">
        <v>1</v>
      </c>
      <c r="D46" s="4">
        <v>10</v>
      </c>
      <c r="E46" s="2">
        <v>0</v>
      </c>
    </row>
    <row r="47" spans="1:5">
      <c r="A47" s="35" t="s">
        <v>74</v>
      </c>
      <c r="B47" s="2" t="s">
        <v>10</v>
      </c>
      <c r="C47" s="2">
        <v>1</v>
      </c>
      <c r="D47" s="4">
        <v>10</v>
      </c>
      <c r="E47" s="2">
        <v>0</v>
      </c>
    </row>
    <row r="48" spans="1:5">
      <c r="A48" s="35" t="s">
        <v>75</v>
      </c>
      <c r="B48" s="2" t="s">
        <v>10</v>
      </c>
      <c r="C48" s="2">
        <v>2</v>
      </c>
      <c r="D48" s="4">
        <v>15</v>
      </c>
      <c r="E48" s="2">
        <v>0</v>
      </c>
    </row>
    <row r="49" spans="1:5">
      <c r="A49" s="35" t="s">
        <v>76</v>
      </c>
      <c r="B49" s="2" t="s">
        <v>10</v>
      </c>
      <c r="C49" s="2">
        <v>2</v>
      </c>
      <c r="D49" s="4">
        <v>10</v>
      </c>
      <c r="E49" s="2">
        <v>0</v>
      </c>
    </row>
    <row r="50" spans="1:5">
      <c r="A50" s="35" t="s">
        <v>77</v>
      </c>
      <c r="B50" s="2" t="s">
        <v>10</v>
      </c>
      <c r="C50" s="2">
        <v>2</v>
      </c>
      <c r="D50" s="4">
        <v>10</v>
      </c>
      <c r="E50" s="2">
        <v>0</v>
      </c>
    </row>
    <row r="51" spans="1:5">
      <c r="A51" s="2" t="s">
        <v>78</v>
      </c>
      <c r="B51" s="2" t="s">
        <v>18</v>
      </c>
      <c r="C51" s="2">
        <v>2</v>
      </c>
      <c r="D51" s="4">
        <v>30</v>
      </c>
      <c r="E51" s="2">
        <v>0</v>
      </c>
    </row>
    <row r="52" spans="1:5">
      <c r="A52" s="15" t="s">
        <v>79</v>
      </c>
      <c r="B52" s="2" t="s">
        <v>18</v>
      </c>
      <c r="C52" s="2">
        <v>2</v>
      </c>
      <c r="D52" s="4">
        <v>25</v>
      </c>
      <c r="E52" s="2">
        <v>0</v>
      </c>
    </row>
    <row r="53" spans="1:5">
      <c r="A53" s="22" t="s">
        <v>80</v>
      </c>
      <c r="B53" s="6" t="s">
        <v>18</v>
      </c>
      <c r="C53" s="6">
        <v>2</v>
      </c>
      <c r="D53" s="7">
        <v>20</v>
      </c>
      <c r="E53" s="2">
        <v>0</v>
      </c>
    </row>
    <row r="54" spans="1:5" ht="30.75">
      <c r="A54" s="28" t="s">
        <v>81</v>
      </c>
      <c r="B54" s="2" t="s">
        <v>14</v>
      </c>
      <c r="C54" s="2">
        <v>2</v>
      </c>
      <c r="D54" s="4">
        <v>15</v>
      </c>
      <c r="E54" s="2">
        <v>0</v>
      </c>
    </row>
    <row r="55" spans="1:5" ht="30.75">
      <c r="A55" s="28" t="s">
        <v>82</v>
      </c>
      <c r="B55" s="2" t="s">
        <v>14</v>
      </c>
      <c r="C55" s="2">
        <v>2</v>
      </c>
      <c r="D55" s="4">
        <v>15</v>
      </c>
      <c r="E55" s="2">
        <v>0</v>
      </c>
    </row>
    <row r="56" spans="1:5">
      <c r="A56" s="54" t="s">
        <v>83</v>
      </c>
      <c r="B56" s="2" t="s">
        <v>14</v>
      </c>
      <c r="C56" s="2">
        <v>1</v>
      </c>
      <c r="D56" s="4">
        <v>15</v>
      </c>
      <c r="E56" s="2">
        <v>0</v>
      </c>
    </row>
    <row r="57" spans="1:5">
      <c r="A57" s="37" t="s">
        <v>84</v>
      </c>
      <c r="B57" s="2" t="s">
        <v>10</v>
      </c>
      <c r="C57" s="2">
        <v>1</v>
      </c>
      <c r="D57" s="4">
        <v>15</v>
      </c>
      <c r="E57" s="2">
        <v>0</v>
      </c>
    </row>
    <row r="58" spans="1:5">
      <c r="A58" s="39" t="s">
        <v>84</v>
      </c>
      <c r="B58" s="2" t="s">
        <v>18</v>
      </c>
      <c r="C58" s="2">
        <v>1</v>
      </c>
      <c r="D58" s="4">
        <v>15</v>
      </c>
      <c r="E58" s="2">
        <v>0</v>
      </c>
    </row>
    <row r="59" spans="1:5">
      <c r="A59" s="39" t="s">
        <v>84</v>
      </c>
      <c r="B59" s="2" t="s">
        <v>16</v>
      </c>
      <c r="C59" s="2">
        <v>1</v>
      </c>
      <c r="D59" s="4">
        <v>15</v>
      </c>
      <c r="E59" s="2">
        <v>0</v>
      </c>
    </row>
    <row r="60" spans="1:5">
      <c r="A60" s="39" t="s">
        <v>84</v>
      </c>
      <c r="B60" s="2" t="s">
        <v>14</v>
      </c>
      <c r="C60" s="2">
        <v>1</v>
      </c>
      <c r="D60" s="4">
        <v>15</v>
      </c>
      <c r="E60" s="2">
        <v>0</v>
      </c>
    </row>
    <row r="61" spans="1:5">
      <c r="A61" s="39" t="s">
        <v>84</v>
      </c>
      <c r="B61" s="2" t="s">
        <v>21</v>
      </c>
      <c r="C61" s="2">
        <v>1</v>
      </c>
      <c r="D61" s="4">
        <v>15</v>
      </c>
      <c r="E61" s="2">
        <v>0</v>
      </c>
    </row>
    <row r="62" spans="1:5">
      <c r="A62" s="37" t="s">
        <v>84</v>
      </c>
      <c r="B62" s="2" t="s">
        <v>12</v>
      </c>
      <c r="C62" s="2">
        <v>1</v>
      </c>
      <c r="D62" s="4">
        <v>15</v>
      </c>
      <c r="E62" s="2">
        <v>0</v>
      </c>
    </row>
    <row r="63" spans="1:5">
      <c r="A63" s="56" t="s">
        <v>85</v>
      </c>
      <c r="B63" s="2" t="s">
        <v>21</v>
      </c>
      <c r="C63" s="2">
        <v>1</v>
      </c>
      <c r="D63" s="4">
        <v>15</v>
      </c>
      <c r="E63" s="2">
        <v>0</v>
      </c>
    </row>
    <row r="64" spans="1:5">
      <c r="A64" s="56" t="s">
        <v>86</v>
      </c>
      <c r="B64" s="2" t="s">
        <v>21</v>
      </c>
      <c r="C64" s="2">
        <v>1</v>
      </c>
      <c r="D64" s="4">
        <v>15</v>
      </c>
      <c r="E64" s="2">
        <v>0</v>
      </c>
    </row>
    <row r="65" spans="1:5">
      <c r="A65" s="56" t="s">
        <v>87</v>
      </c>
      <c r="B65" s="2" t="s">
        <v>21</v>
      </c>
      <c r="C65" s="2">
        <v>1</v>
      </c>
      <c r="D65" s="4">
        <v>15</v>
      </c>
      <c r="E65" s="2">
        <v>0</v>
      </c>
    </row>
    <row r="66" spans="1:5">
      <c r="A66" s="56" t="s">
        <v>88</v>
      </c>
      <c r="B66" s="2" t="s">
        <v>21</v>
      </c>
      <c r="C66" s="2">
        <v>1</v>
      </c>
      <c r="D66" s="4">
        <v>15</v>
      </c>
      <c r="E66" s="2">
        <v>0</v>
      </c>
    </row>
    <row r="67" spans="1:5">
      <c r="A67" s="56" t="s">
        <v>89</v>
      </c>
      <c r="B67" s="2" t="s">
        <v>21</v>
      </c>
      <c r="C67" s="6">
        <v>1</v>
      </c>
      <c r="D67" s="7">
        <v>15</v>
      </c>
      <c r="E67" s="6">
        <v>0</v>
      </c>
    </row>
    <row r="68" spans="1:5">
      <c r="C68" s="2">
        <f t="shared" ref="C68:E68" si="0">SUM(C15:C67)</f>
        <v>90</v>
      </c>
      <c r="D68" s="2">
        <f t="shared" si="0"/>
        <v>1616</v>
      </c>
      <c r="E68" s="2">
        <f t="shared" si="0"/>
        <v>0</v>
      </c>
    </row>
  </sheetData>
  <mergeCells count="9">
    <mergeCell ref="A13:E13"/>
    <mergeCell ref="J7:K7"/>
    <mergeCell ref="G7:H7"/>
    <mergeCell ref="J1:K3"/>
    <mergeCell ref="A4:A5"/>
    <mergeCell ref="B4:I5"/>
    <mergeCell ref="J4:K4"/>
    <mergeCell ref="A1:A3"/>
    <mergeCell ref="B1:I3"/>
  </mergeCells>
  <pageMargins left="0.7" right="0.7" top="0.75" bottom="0.75" header="0.3" footer="0.3"/>
  <pageSetup paperSize="9"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C5DDF-B764-44D4-9212-A0F7BA385429}">
  <dimension ref="A1:M66"/>
  <sheetViews>
    <sheetView topLeftCell="A43" workbookViewId="0">
      <selection activeCell="E27" sqref="E27:E32"/>
    </sheetView>
  </sheetViews>
  <sheetFormatPr defaultRowHeight="15"/>
  <cols>
    <col min="2" max="2" width="44.7109375" bestFit="1" customWidth="1"/>
    <col min="3" max="3" width="19.28515625" customWidth="1"/>
    <col min="4" max="4" width="17.42578125" bestFit="1" customWidth="1"/>
    <col min="5" max="5" width="13.42578125" customWidth="1"/>
    <col min="6" max="6" width="13.140625" customWidth="1"/>
    <col min="11" max="11" width="15.5703125" customWidth="1"/>
  </cols>
  <sheetData>
    <row r="1" spans="1:13">
      <c r="A1" s="79"/>
      <c r="B1" s="79"/>
      <c r="C1" s="80" t="s">
        <v>41</v>
      </c>
      <c r="D1" s="80"/>
      <c r="E1" s="80"/>
      <c r="F1" s="80"/>
      <c r="G1" s="80"/>
      <c r="H1" s="80"/>
      <c r="I1" s="80"/>
      <c r="J1" s="80"/>
      <c r="K1" s="80"/>
      <c r="L1" s="81"/>
      <c r="M1" s="81"/>
    </row>
    <row r="2" spans="1:13">
      <c r="A2" s="79"/>
      <c r="B2" s="79"/>
      <c r="C2" s="80"/>
      <c r="D2" s="80"/>
      <c r="E2" s="80"/>
      <c r="F2" s="80"/>
      <c r="G2" s="80"/>
      <c r="H2" s="80"/>
      <c r="I2" s="80"/>
      <c r="J2" s="80"/>
      <c r="K2" s="80"/>
      <c r="L2" s="81"/>
      <c r="M2" s="81"/>
    </row>
    <row r="3" spans="1:13">
      <c r="A3" s="79"/>
      <c r="B3" s="79"/>
      <c r="C3" s="80"/>
      <c r="D3" s="80"/>
      <c r="E3" s="80"/>
      <c r="F3" s="80"/>
      <c r="G3" s="80"/>
      <c r="H3" s="80"/>
      <c r="I3" s="80"/>
      <c r="J3" s="80"/>
      <c r="K3" s="80"/>
      <c r="L3" s="81"/>
      <c r="M3" s="81"/>
    </row>
    <row r="4" spans="1:13">
      <c r="A4" s="82" t="s">
        <v>90</v>
      </c>
      <c r="B4" s="82"/>
      <c r="C4" s="83" t="s">
        <v>42</v>
      </c>
      <c r="D4" s="83"/>
      <c r="E4" s="83"/>
      <c r="F4" s="83"/>
      <c r="G4" s="83"/>
      <c r="H4" s="83"/>
      <c r="I4" s="83"/>
      <c r="J4" s="83"/>
      <c r="K4" s="83"/>
      <c r="L4" s="84" t="s">
        <v>0</v>
      </c>
      <c r="M4" s="84"/>
    </row>
    <row r="5" spans="1:13">
      <c r="A5" s="82"/>
      <c r="B5" s="82"/>
      <c r="C5" s="83"/>
      <c r="D5" s="83"/>
      <c r="E5" s="83"/>
      <c r="F5" s="83"/>
      <c r="G5" s="83"/>
      <c r="H5" s="83"/>
      <c r="I5" s="83"/>
      <c r="J5" s="83"/>
      <c r="K5" s="83"/>
      <c r="L5" s="33" t="s">
        <v>1</v>
      </c>
      <c r="M5" s="34" t="s">
        <v>2</v>
      </c>
    </row>
    <row r="7" spans="1:13">
      <c r="H7" s="124"/>
      <c r="I7" s="124"/>
      <c r="J7" s="126"/>
      <c r="K7" s="126"/>
      <c r="L7" s="124"/>
      <c r="M7" s="124"/>
    </row>
    <row r="8" spans="1:13">
      <c r="H8" s="124"/>
      <c r="I8" s="124"/>
      <c r="J8" s="127"/>
      <c r="K8" s="124"/>
      <c r="L8" s="124"/>
      <c r="M8" s="124"/>
    </row>
    <row r="9" spans="1:13">
      <c r="H9" s="124"/>
      <c r="I9" s="124"/>
      <c r="J9" s="124"/>
      <c r="K9" s="124"/>
      <c r="L9" s="124"/>
      <c r="M9" s="124"/>
    </row>
    <row r="10" spans="1:13">
      <c r="H10" s="124"/>
      <c r="I10" s="124"/>
      <c r="J10" s="124"/>
      <c r="K10" s="124"/>
      <c r="L10" s="124"/>
      <c r="M10" s="124"/>
    </row>
    <row r="11" spans="1:13">
      <c r="H11" s="124"/>
      <c r="I11" s="124"/>
      <c r="J11" s="124"/>
      <c r="K11" s="124"/>
      <c r="L11" s="124"/>
      <c r="M11" s="124"/>
    </row>
    <row r="12" spans="1:13">
      <c r="H12" s="124"/>
      <c r="I12" s="124"/>
      <c r="J12" s="124"/>
      <c r="K12" s="124"/>
      <c r="L12" s="124"/>
      <c r="M12" s="124"/>
    </row>
    <row r="13" spans="1:13" ht="60.75" customHeight="1">
      <c r="H13" s="124"/>
      <c r="I13" s="124"/>
      <c r="J13" s="124"/>
      <c r="K13" s="124"/>
      <c r="L13" s="124"/>
      <c r="M13" s="124"/>
    </row>
    <row r="14" spans="1:13">
      <c r="A14" s="8"/>
      <c r="B14" s="75" t="s">
        <v>3</v>
      </c>
      <c r="C14" s="76"/>
      <c r="D14" s="76"/>
      <c r="E14" s="76"/>
      <c r="F14" s="77"/>
      <c r="H14" s="124"/>
      <c r="I14" s="124"/>
      <c r="J14" s="124"/>
      <c r="K14" s="124"/>
      <c r="L14" s="124"/>
      <c r="M14" s="124"/>
    </row>
    <row r="15" spans="1:13" ht="45.75">
      <c r="A15" s="45"/>
      <c r="B15" s="46" t="s">
        <v>4</v>
      </c>
      <c r="C15" s="48" t="s">
        <v>5</v>
      </c>
      <c r="D15" s="46" t="s">
        <v>6</v>
      </c>
      <c r="E15" s="47" t="s">
        <v>7</v>
      </c>
      <c r="F15" s="47" t="s">
        <v>8</v>
      </c>
      <c r="H15" s="124"/>
      <c r="I15" s="124"/>
      <c r="J15" s="124"/>
      <c r="K15" s="124"/>
      <c r="L15" s="124"/>
      <c r="M15" s="124"/>
    </row>
    <row r="16" spans="1:13">
      <c r="A16" s="2">
        <v>1</v>
      </c>
      <c r="B16" s="14" t="s">
        <v>91</v>
      </c>
      <c r="C16" s="2" t="s">
        <v>21</v>
      </c>
      <c r="D16" s="23">
        <v>2</v>
      </c>
      <c r="E16" s="24">
        <v>30</v>
      </c>
      <c r="F16" s="38">
        <v>0</v>
      </c>
      <c r="H16" s="124"/>
      <c r="I16" s="124"/>
      <c r="J16" s="124"/>
      <c r="K16" s="124"/>
      <c r="L16" s="124"/>
      <c r="M16" s="124"/>
    </row>
    <row r="17" spans="1:13">
      <c r="A17" s="2">
        <v>2</v>
      </c>
      <c r="B17" s="63" t="s">
        <v>92</v>
      </c>
      <c r="C17" s="2" t="s">
        <v>10</v>
      </c>
      <c r="D17" s="37">
        <v>1</v>
      </c>
      <c r="E17" s="24">
        <v>30</v>
      </c>
      <c r="F17" s="38">
        <v>0</v>
      </c>
      <c r="H17" s="124"/>
      <c r="I17" s="124"/>
      <c r="J17" s="124"/>
      <c r="K17" s="124"/>
      <c r="L17" s="124"/>
      <c r="M17" s="124"/>
    </row>
    <row r="18" spans="1:13">
      <c r="A18" s="2">
        <v>3</v>
      </c>
      <c r="B18" s="55" t="s">
        <v>93</v>
      </c>
      <c r="C18" s="2" t="s">
        <v>12</v>
      </c>
      <c r="D18" s="37">
        <v>1</v>
      </c>
      <c r="E18" s="24">
        <v>30</v>
      </c>
      <c r="F18" s="38">
        <v>0</v>
      </c>
      <c r="H18" s="124"/>
      <c r="I18" s="124"/>
      <c r="J18" s="124"/>
      <c r="K18" s="124"/>
      <c r="L18" s="124"/>
      <c r="M18" s="124"/>
    </row>
    <row r="19" spans="1:13">
      <c r="A19" s="2">
        <v>4</v>
      </c>
      <c r="B19" s="56" t="s">
        <v>94</v>
      </c>
      <c r="C19" s="2" t="s">
        <v>14</v>
      </c>
      <c r="D19" s="23">
        <v>1</v>
      </c>
      <c r="E19" s="24">
        <v>30</v>
      </c>
      <c r="F19" s="38">
        <v>0</v>
      </c>
      <c r="H19" s="124"/>
      <c r="I19" s="124"/>
      <c r="J19" s="124"/>
      <c r="K19" s="124"/>
      <c r="L19" s="124"/>
      <c r="M19" s="124"/>
    </row>
    <row r="20" spans="1:13">
      <c r="A20" s="2">
        <v>5</v>
      </c>
      <c r="B20" s="56" t="s">
        <v>95</v>
      </c>
      <c r="C20" s="2" t="s">
        <v>16</v>
      </c>
      <c r="D20" s="23">
        <v>4</v>
      </c>
      <c r="E20" s="24">
        <v>10</v>
      </c>
      <c r="F20" s="38">
        <v>0</v>
      </c>
      <c r="H20" s="124"/>
      <c r="I20" s="124"/>
      <c r="J20" s="124"/>
      <c r="K20" s="124"/>
      <c r="L20" s="124"/>
      <c r="M20" s="124"/>
    </row>
    <row r="21" spans="1:13">
      <c r="A21" s="2">
        <v>6</v>
      </c>
      <c r="B21" s="56" t="s">
        <v>96</v>
      </c>
      <c r="C21" s="2" t="s">
        <v>18</v>
      </c>
      <c r="D21" s="37">
        <v>1</v>
      </c>
      <c r="E21" s="24">
        <v>30</v>
      </c>
      <c r="F21" s="38">
        <v>0</v>
      </c>
      <c r="H21" s="124"/>
      <c r="I21" s="124"/>
      <c r="J21" s="124"/>
      <c r="K21" s="124"/>
      <c r="L21" s="124"/>
      <c r="M21" s="124"/>
    </row>
    <row r="22" spans="1:13">
      <c r="A22" s="2">
        <v>7</v>
      </c>
      <c r="B22" s="56" t="s">
        <v>97</v>
      </c>
      <c r="C22" s="2" t="s">
        <v>10</v>
      </c>
      <c r="D22" s="37">
        <v>1</v>
      </c>
      <c r="E22" s="24">
        <v>30</v>
      </c>
      <c r="F22" s="38">
        <v>0</v>
      </c>
      <c r="H22" s="124"/>
      <c r="I22" s="124"/>
      <c r="J22" s="124"/>
      <c r="K22" s="124"/>
      <c r="L22" s="124"/>
      <c r="M22" s="124"/>
    </row>
    <row r="23" spans="1:13">
      <c r="A23" s="2">
        <v>8</v>
      </c>
      <c r="B23" s="56" t="s">
        <v>98</v>
      </c>
      <c r="C23" s="2" t="s">
        <v>21</v>
      </c>
      <c r="D23" s="37">
        <v>1</v>
      </c>
      <c r="E23" s="24">
        <v>30</v>
      </c>
      <c r="F23" s="38">
        <v>0</v>
      </c>
      <c r="H23" s="124"/>
      <c r="I23" s="124"/>
      <c r="J23" s="124"/>
      <c r="K23" s="124"/>
      <c r="L23" s="124"/>
      <c r="M23" s="124"/>
    </row>
    <row r="24" spans="1:13">
      <c r="A24" s="2">
        <v>9</v>
      </c>
      <c r="B24" s="56" t="s">
        <v>99</v>
      </c>
      <c r="C24" s="2" t="s">
        <v>21</v>
      </c>
      <c r="D24" s="37">
        <v>1</v>
      </c>
      <c r="E24" s="24">
        <v>30</v>
      </c>
      <c r="F24" s="38">
        <v>0</v>
      </c>
    </row>
    <row r="25" spans="1:13">
      <c r="A25" s="2">
        <v>10</v>
      </c>
      <c r="B25" s="56" t="s">
        <v>100</v>
      </c>
      <c r="C25" s="2" t="s">
        <v>12</v>
      </c>
      <c r="D25" s="37">
        <v>1</v>
      </c>
      <c r="E25" s="24">
        <v>60</v>
      </c>
      <c r="F25" s="38">
        <v>0</v>
      </c>
    </row>
    <row r="26" spans="1:13">
      <c r="A26" s="2">
        <v>11</v>
      </c>
      <c r="B26" s="57" t="s">
        <v>101</v>
      </c>
      <c r="C26" s="2" t="s">
        <v>12</v>
      </c>
      <c r="D26" s="37">
        <v>1</v>
      </c>
      <c r="E26" s="26">
        <v>50</v>
      </c>
      <c r="F26" s="38">
        <v>0</v>
      </c>
    </row>
    <row r="27" spans="1:13">
      <c r="A27" s="2">
        <v>12</v>
      </c>
      <c r="B27" s="56" t="s">
        <v>85</v>
      </c>
      <c r="C27" s="2" t="s">
        <v>14</v>
      </c>
      <c r="D27" s="37">
        <v>1</v>
      </c>
      <c r="E27" s="24">
        <v>15</v>
      </c>
      <c r="F27" s="38">
        <v>0</v>
      </c>
    </row>
    <row r="28" spans="1:13">
      <c r="A28" s="2">
        <v>13</v>
      </c>
      <c r="B28" s="56" t="s">
        <v>86</v>
      </c>
      <c r="C28" s="2" t="s">
        <v>16</v>
      </c>
      <c r="D28" s="37">
        <v>1</v>
      </c>
      <c r="E28" s="24">
        <v>15</v>
      </c>
      <c r="F28" s="38">
        <v>0</v>
      </c>
    </row>
    <row r="29" spans="1:13">
      <c r="A29" s="2">
        <v>14</v>
      </c>
      <c r="B29" s="56" t="s">
        <v>87</v>
      </c>
      <c r="C29" s="2" t="s">
        <v>18</v>
      </c>
      <c r="D29" s="37">
        <v>1</v>
      </c>
      <c r="E29" s="24">
        <v>15</v>
      </c>
      <c r="F29" s="38">
        <v>0</v>
      </c>
    </row>
    <row r="30" spans="1:13">
      <c r="A30" s="2">
        <v>15</v>
      </c>
      <c r="B30" s="56" t="s">
        <v>88</v>
      </c>
      <c r="C30" s="2" t="s">
        <v>10</v>
      </c>
      <c r="D30" s="37">
        <v>1</v>
      </c>
      <c r="E30" s="24">
        <v>15</v>
      </c>
      <c r="F30" s="38">
        <v>0</v>
      </c>
    </row>
    <row r="31" spans="1:13">
      <c r="A31" s="2">
        <v>16</v>
      </c>
      <c r="B31" s="56" t="s">
        <v>89</v>
      </c>
      <c r="C31" s="2" t="s">
        <v>21</v>
      </c>
      <c r="D31" s="37">
        <v>1</v>
      </c>
      <c r="E31" s="24">
        <v>15</v>
      </c>
      <c r="F31" s="38">
        <v>0</v>
      </c>
    </row>
    <row r="32" spans="1:13">
      <c r="A32" s="2">
        <v>17</v>
      </c>
      <c r="B32" s="56" t="s">
        <v>102</v>
      </c>
      <c r="C32" s="2" t="s">
        <v>21</v>
      </c>
      <c r="D32" s="37">
        <v>1</v>
      </c>
      <c r="E32" s="24">
        <v>15</v>
      </c>
      <c r="F32" s="38">
        <v>0</v>
      </c>
    </row>
    <row r="33" spans="1:6">
      <c r="A33" s="2">
        <v>18</v>
      </c>
      <c r="B33" s="56" t="s">
        <v>103</v>
      </c>
      <c r="C33" s="2" t="s">
        <v>12</v>
      </c>
      <c r="D33" s="37">
        <v>1</v>
      </c>
      <c r="E33" s="24">
        <v>30</v>
      </c>
      <c r="F33" s="38">
        <v>0</v>
      </c>
    </row>
    <row r="34" spans="1:6">
      <c r="A34" s="2">
        <v>19</v>
      </c>
      <c r="B34" s="56" t="s">
        <v>104</v>
      </c>
      <c r="C34" s="2" t="s">
        <v>10</v>
      </c>
      <c r="D34" s="37">
        <v>1</v>
      </c>
      <c r="E34" s="24">
        <v>30</v>
      </c>
      <c r="F34" s="38">
        <v>0</v>
      </c>
    </row>
    <row r="35" spans="1:6">
      <c r="A35" s="2">
        <v>20</v>
      </c>
      <c r="B35" s="56" t="s">
        <v>59</v>
      </c>
      <c r="C35" s="2" t="s">
        <v>21</v>
      </c>
      <c r="D35" s="37">
        <v>1</v>
      </c>
      <c r="E35" s="24">
        <v>30</v>
      </c>
      <c r="F35" s="38">
        <v>0</v>
      </c>
    </row>
    <row r="36" spans="1:6">
      <c r="A36" s="2">
        <v>21</v>
      </c>
      <c r="B36" s="58" t="s">
        <v>60</v>
      </c>
      <c r="C36" s="2" t="s">
        <v>21</v>
      </c>
      <c r="D36" s="37">
        <v>1</v>
      </c>
      <c r="E36" s="24">
        <v>10</v>
      </c>
      <c r="F36" s="38">
        <v>0</v>
      </c>
    </row>
    <row r="37" spans="1:6">
      <c r="A37" s="2">
        <v>22</v>
      </c>
      <c r="B37" s="59" t="s">
        <v>105</v>
      </c>
      <c r="C37" s="2" t="s">
        <v>12</v>
      </c>
      <c r="D37" s="37">
        <v>1</v>
      </c>
      <c r="E37" s="24">
        <v>10</v>
      </c>
      <c r="F37" s="38">
        <v>0</v>
      </c>
    </row>
    <row r="38" spans="1:6">
      <c r="A38" s="2">
        <v>23</v>
      </c>
      <c r="B38" s="25" t="s">
        <v>106</v>
      </c>
      <c r="C38" s="2" t="s">
        <v>12</v>
      </c>
      <c r="D38" s="37">
        <v>1</v>
      </c>
      <c r="E38" s="24">
        <v>30</v>
      </c>
      <c r="F38" s="38">
        <v>0</v>
      </c>
    </row>
    <row r="39" spans="1:6">
      <c r="A39" s="2">
        <v>24</v>
      </c>
      <c r="B39" s="18" t="s">
        <v>62</v>
      </c>
      <c r="C39" s="2" t="s">
        <v>14</v>
      </c>
      <c r="D39" s="37">
        <v>1</v>
      </c>
      <c r="E39" s="24">
        <v>30</v>
      </c>
      <c r="F39" s="38">
        <v>0</v>
      </c>
    </row>
    <row r="40" spans="1:6">
      <c r="A40" s="2">
        <v>25</v>
      </c>
      <c r="B40" s="15" t="s">
        <v>60</v>
      </c>
      <c r="C40" s="2" t="s">
        <v>16</v>
      </c>
      <c r="D40" s="37">
        <v>1</v>
      </c>
      <c r="E40" s="24">
        <v>30</v>
      </c>
      <c r="F40" s="38">
        <v>0</v>
      </c>
    </row>
    <row r="41" spans="1:6">
      <c r="A41" s="2">
        <v>26</v>
      </c>
      <c r="B41" s="60" t="s">
        <v>61</v>
      </c>
      <c r="C41" s="2" t="s">
        <v>18</v>
      </c>
      <c r="D41" s="37">
        <v>1</v>
      </c>
      <c r="E41" s="24">
        <v>10</v>
      </c>
      <c r="F41" s="38">
        <v>0</v>
      </c>
    </row>
    <row r="42" spans="1:6">
      <c r="A42" s="2">
        <v>27</v>
      </c>
      <c r="B42" s="60" t="s">
        <v>62</v>
      </c>
      <c r="C42" s="2" t="s">
        <v>10</v>
      </c>
      <c r="D42" s="37">
        <v>1</v>
      </c>
      <c r="E42" s="24">
        <v>78</v>
      </c>
      <c r="F42" s="38">
        <v>0</v>
      </c>
    </row>
    <row r="43" spans="1:6">
      <c r="A43" s="2">
        <v>28</v>
      </c>
      <c r="B43" s="60" t="s">
        <v>63</v>
      </c>
      <c r="C43" s="2" t="s">
        <v>21</v>
      </c>
      <c r="D43" s="37">
        <v>1</v>
      </c>
      <c r="E43" s="24">
        <v>30</v>
      </c>
      <c r="F43" s="38">
        <v>0</v>
      </c>
    </row>
    <row r="44" spans="1:6">
      <c r="A44" s="2">
        <v>29</v>
      </c>
      <c r="B44" s="61" t="s">
        <v>107</v>
      </c>
      <c r="C44" s="2" t="s">
        <v>10</v>
      </c>
      <c r="D44" s="37">
        <v>1</v>
      </c>
      <c r="E44" s="24">
        <v>30</v>
      </c>
      <c r="F44" s="38">
        <v>0</v>
      </c>
    </row>
    <row r="45" spans="1:6">
      <c r="A45" s="2">
        <v>30</v>
      </c>
      <c r="B45" s="61" t="s">
        <v>60</v>
      </c>
      <c r="C45" s="2" t="s">
        <v>21</v>
      </c>
      <c r="D45" s="37">
        <v>1</v>
      </c>
      <c r="E45" s="24">
        <v>30</v>
      </c>
      <c r="F45" s="38">
        <v>0</v>
      </c>
    </row>
    <row r="46" spans="1:6">
      <c r="A46" s="2">
        <v>31</v>
      </c>
      <c r="B46" s="15" t="s">
        <v>60</v>
      </c>
      <c r="C46" s="2" t="s">
        <v>21</v>
      </c>
      <c r="D46" s="37">
        <v>1</v>
      </c>
      <c r="E46" s="24">
        <v>10</v>
      </c>
      <c r="F46" s="38">
        <v>0</v>
      </c>
    </row>
    <row r="47" spans="1:6">
      <c r="A47" s="2">
        <v>32</v>
      </c>
      <c r="B47" s="15" t="s">
        <v>64</v>
      </c>
      <c r="C47" s="2" t="s">
        <v>12</v>
      </c>
      <c r="D47" s="37">
        <v>1</v>
      </c>
      <c r="E47" s="24">
        <v>30</v>
      </c>
      <c r="F47" s="38">
        <v>0</v>
      </c>
    </row>
    <row r="48" spans="1:6">
      <c r="A48" s="2">
        <v>33</v>
      </c>
      <c r="B48" s="15" t="s">
        <v>65</v>
      </c>
      <c r="C48" s="2" t="s">
        <v>12</v>
      </c>
      <c r="D48" s="37">
        <v>1</v>
      </c>
      <c r="E48" s="24">
        <v>30</v>
      </c>
      <c r="F48" s="38">
        <v>0</v>
      </c>
    </row>
    <row r="49" spans="1:6">
      <c r="A49" s="2">
        <v>34</v>
      </c>
      <c r="B49" s="16" t="s">
        <v>66</v>
      </c>
      <c r="C49" s="2" t="s">
        <v>14</v>
      </c>
      <c r="D49" s="37">
        <v>1</v>
      </c>
      <c r="E49" s="24">
        <v>10</v>
      </c>
      <c r="F49" s="38">
        <v>0</v>
      </c>
    </row>
    <row r="50" spans="1:6">
      <c r="A50" s="2">
        <v>35</v>
      </c>
      <c r="B50" s="17" t="s">
        <v>67</v>
      </c>
      <c r="C50" s="2" t="s">
        <v>16</v>
      </c>
      <c r="D50" s="37">
        <v>1</v>
      </c>
      <c r="E50" s="26">
        <v>20</v>
      </c>
      <c r="F50" s="38">
        <v>0</v>
      </c>
    </row>
    <row r="51" spans="1:6">
      <c r="A51" s="2">
        <v>36</v>
      </c>
      <c r="B51" s="15" t="s">
        <v>60</v>
      </c>
      <c r="C51" s="2" t="s">
        <v>18</v>
      </c>
      <c r="D51" s="37">
        <v>1</v>
      </c>
      <c r="E51" s="24">
        <v>30</v>
      </c>
      <c r="F51" s="38">
        <v>0</v>
      </c>
    </row>
    <row r="52" spans="1:6">
      <c r="A52" s="2">
        <v>37</v>
      </c>
      <c r="B52" s="18" t="s">
        <v>62</v>
      </c>
      <c r="C52" s="2" t="s">
        <v>10</v>
      </c>
      <c r="D52" s="37">
        <v>1</v>
      </c>
      <c r="E52" s="24">
        <v>30</v>
      </c>
      <c r="F52" s="38">
        <v>0</v>
      </c>
    </row>
    <row r="53" spans="1:6">
      <c r="A53" s="2">
        <v>38</v>
      </c>
      <c r="B53" s="59" t="s">
        <v>68</v>
      </c>
      <c r="C53" s="2" t="s">
        <v>21</v>
      </c>
      <c r="D53" s="37">
        <v>1</v>
      </c>
      <c r="E53" s="24">
        <v>30</v>
      </c>
      <c r="F53" s="38">
        <v>0</v>
      </c>
    </row>
    <row r="54" spans="1:6">
      <c r="A54" s="2">
        <v>39</v>
      </c>
      <c r="B54" s="25" t="s">
        <v>69</v>
      </c>
      <c r="C54" s="2" t="s">
        <v>10</v>
      </c>
      <c r="D54" s="37">
        <v>1</v>
      </c>
      <c r="E54" s="24">
        <v>30</v>
      </c>
      <c r="F54" s="38">
        <v>0</v>
      </c>
    </row>
    <row r="55" spans="1:6">
      <c r="A55" s="2">
        <v>40</v>
      </c>
      <c r="B55" s="18" t="s">
        <v>62</v>
      </c>
      <c r="C55" s="2" t="s">
        <v>21</v>
      </c>
      <c r="D55" s="37">
        <v>1</v>
      </c>
      <c r="E55" s="24">
        <v>10</v>
      </c>
      <c r="F55" s="38">
        <v>0</v>
      </c>
    </row>
    <row r="56" spans="1:6">
      <c r="A56" s="2">
        <v>41</v>
      </c>
      <c r="B56" s="60" t="s">
        <v>60</v>
      </c>
      <c r="C56" s="2" t="s">
        <v>10</v>
      </c>
      <c r="D56" s="37">
        <v>1</v>
      </c>
      <c r="E56" s="26">
        <v>20</v>
      </c>
      <c r="F56" s="38">
        <v>0</v>
      </c>
    </row>
    <row r="57" spans="1:6">
      <c r="A57" s="2">
        <v>42</v>
      </c>
      <c r="B57" s="62" t="s">
        <v>108</v>
      </c>
      <c r="C57" s="2" t="s">
        <v>21</v>
      </c>
      <c r="D57" s="37">
        <v>1</v>
      </c>
      <c r="E57" s="24">
        <v>30</v>
      </c>
      <c r="F57" s="38">
        <v>0</v>
      </c>
    </row>
    <row r="58" spans="1:6">
      <c r="A58" s="2">
        <v>43</v>
      </c>
      <c r="B58" s="60" t="s">
        <v>64</v>
      </c>
      <c r="C58" s="2" t="s">
        <v>21</v>
      </c>
      <c r="D58" s="37">
        <v>1</v>
      </c>
      <c r="E58" s="24">
        <v>30</v>
      </c>
      <c r="F58" s="38">
        <v>0</v>
      </c>
    </row>
    <row r="59" spans="1:6">
      <c r="A59" s="2">
        <v>44</v>
      </c>
      <c r="B59" s="56" t="s">
        <v>85</v>
      </c>
      <c r="C59" s="2" t="s">
        <v>12</v>
      </c>
      <c r="D59" s="37">
        <v>1</v>
      </c>
      <c r="E59" s="24">
        <v>10</v>
      </c>
      <c r="F59" s="38">
        <v>0</v>
      </c>
    </row>
    <row r="60" spans="1:6">
      <c r="A60" s="2">
        <v>45</v>
      </c>
      <c r="B60" s="56" t="s">
        <v>86</v>
      </c>
      <c r="C60" s="2" t="s">
        <v>12</v>
      </c>
      <c r="D60" s="37">
        <v>1</v>
      </c>
      <c r="E60" s="26">
        <v>20</v>
      </c>
      <c r="F60" s="38">
        <v>0</v>
      </c>
    </row>
    <row r="61" spans="1:6">
      <c r="A61" s="2">
        <v>46</v>
      </c>
      <c r="B61" s="56" t="s">
        <v>87</v>
      </c>
      <c r="C61" s="2" t="s">
        <v>14</v>
      </c>
      <c r="D61" s="37">
        <v>1</v>
      </c>
      <c r="E61" s="24">
        <v>30</v>
      </c>
      <c r="F61" s="38">
        <v>0</v>
      </c>
    </row>
    <row r="62" spans="1:6">
      <c r="A62" s="2">
        <v>47</v>
      </c>
      <c r="B62" s="56" t="s">
        <v>88</v>
      </c>
      <c r="C62" s="2" t="s">
        <v>16</v>
      </c>
      <c r="D62" s="37">
        <v>1</v>
      </c>
      <c r="E62" s="24">
        <v>30</v>
      </c>
      <c r="F62" s="38">
        <v>0</v>
      </c>
    </row>
    <row r="63" spans="1:6">
      <c r="A63" s="2">
        <v>48</v>
      </c>
      <c r="B63" s="56" t="s">
        <v>89</v>
      </c>
      <c r="C63" s="2" t="s">
        <v>18</v>
      </c>
      <c r="D63" s="37">
        <v>1</v>
      </c>
      <c r="E63" s="24">
        <v>10</v>
      </c>
      <c r="F63" s="38">
        <v>0</v>
      </c>
    </row>
    <row r="64" spans="1:6">
      <c r="A64" s="2">
        <v>49</v>
      </c>
      <c r="B64" s="56" t="s">
        <v>102</v>
      </c>
      <c r="C64" s="2" t="s">
        <v>10</v>
      </c>
      <c r="D64" s="37">
        <v>1</v>
      </c>
      <c r="E64" s="26">
        <v>20</v>
      </c>
      <c r="F64" s="38">
        <v>0</v>
      </c>
    </row>
    <row r="65" spans="1:6">
      <c r="A65" s="2">
        <v>50</v>
      </c>
      <c r="B65" s="56" t="s">
        <v>103</v>
      </c>
      <c r="C65" s="2" t="s">
        <v>21</v>
      </c>
      <c r="D65" s="112">
        <v>1</v>
      </c>
      <c r="E65" s="118">
        <v>30</v>
      </c>
      <c r="F65" s="119">
        <v>0</v>
      </c>
    </row>
    <row r="66" spans="1:6">
      <c r="D66" s="2">
        <f t="shared" ref="D66:F66" si="0">SUM(D16:D65)</f>
        <v>54</v>
      </c>
      <c r="E66" s="2">
        <f t="shared" si="0"/>
        <v>1288</v>
      </c>
      <c r="F66" s="2">
        <f t="shared" si="0"/>
        <v>0</v>
      </c>
    </row>
  </sheetData>
  <mergeCells count="8">
    <mergeCell ref="J7:K7"/>
    <mergeCell ref="B14:F14"/>
    <mergeCell ref="A1:B3"/>
    <mergeCell ref="C1:K3"/>
    <mergeCell ref="L1:M3"/>
    <mergeCell ref="A4:B5"/>
    <mergeCell ref="C4:K5"/>
    <mergeCell ref="L4:M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F3076-EA17-4FE7-98BD-B2054D2721DE}">
  <dimension ref="A1:O61"/>
  <sheetViews>
    <sheetView topLeftCell="A41" workbookViewId="0">
      <selection activeCell="E27" sqref="E27:E32"/>
    </sheetView>
  </sheetViews>
  <sheetFormatPr defaultRowHeight="15"/>
  <cols>
    <col min="2" max="2" width="44.7109375" bestFit="1" customWidth="1"/>
    <col min="3" max="3" width="19.28515625" customWidth="1"/>
    <col min="4" max="4" width="17.42578125" bestFit="1" customWidth="1"/>
    <col min="5" max="5" width="13.42578125" customWidth="1"/>
    <col min="6" max="6" width="13.140625" customWidth="1"/>
    <col min="11" max="11" width="15.5703125" customWidth="1"/>
  </cols>
  <sheetData>
    <row r="1" spans="1:15">
      <c r="A1" s="79"/>
      <c r="B1" s="79"/>
      <c r="C1" s="80" t="s">
        <v>41</v>
      </c>
      <c r="D1" s="80"/>
      <c r="E1" s="80"/>
      <c r="F1" s="80"/>
      <c r="G1" s="80"/>
      <c r="H1" s="80"/>
      <c r="I1" s="80"/>
      <c r="J1" s="80"/>
      <c r="K1" s="80"/>
      <c r="L1" s="81"/>
      <c r="M1" s="81"/>
    </row>
    <row r="2" spans="1:15">
      <c r="A2" s="79"/>
      <c r="B2" s="79"/>
      <c r="C2" s="80"/>
      <c r="D2" s="80"/>
      <c r="E2" s="80"/>
      <c r="F2" s="80"/>
      <c r="G2" s="80"/>
      <c r="H2" s="80"/>
      <c r="I2" s="80"/>
      <c r="J2" s="80"/>
      <c r="K2" s="80"/>
      <c r="L2" s="81"/>
      <c r="M2" s="81"/>
    </row>
    <row r="3" spans="1:15">
      <c r="A3" s="79"/>
      <c r="B3" s="79"/>
      <c r="C3" s="80"/>
      <c r="D3" s="80"/>
      <c r="E3" s="80"/>
      <c r="F3" s="80"/>
      <c r="G3" s="80"/>
      <c r="H3" s="80"/>
      <c r="I3" s="80"/>
      <c r="J3" s="80"/>
      <c r="K3" s="80"/>
      <c r="L3" s="81"/>
      <c r="M3" s="81"/>
    </row>
    <row r="4" spans="1:15">
      <c r="A4" s="82" t="s">
        <v>90</v>
      </c>
      <c r="B4" s="82"/>
      <c r="C4" s="83" t="s">
        <v>42</v>
      </c>
      <c r="D4" s="83"/>
      <c r="E4" s="83"/>
      <c r="F4" s="83"/>
      <c r="G4" s="83"/>
      <c r="H4" s="83"/>
      <c r="I4" s="83"/>
      <c r="J4" s="83"/>
      <c r="K4" s="83"/>
      <c r="L4" s="84" t="s">
        <v>0</v>
      </c>
      <c r="M4" s="84"/>
    </row>
    <row r="5" spans="1:15">
      <c r="A5" s="82"/>
      <c r="B5" s="82"/>
      <c r="C5" s="83"/>
      <c r="D5" s="83"/>
      <c r="E5" s="83"/>
      <c r="F5" s="83"/>
      <c r="G5" s="83"/>
      <c r="H5" s="121"/>
      <c r="I5" s="121"/>
      <c r="J5" s="121"/>
      <c r="K5" s="121"/>
      <c r="L5" s="122" t="s">
        <v>1</v>
      </c>
      <c r="M5" s="123" t="s">
        <v>2</v>
      </c>
    </row>
    <row r="6" spans="1:15">
      <c r="H6" s="124"/>
      <c r="I6" s="124"/>
      <c r="J6" s="124"/>
      <c r="K6" s="124"/>
      <c r="L6" s="124"/>
      <c r="M6" s="124"/>
      <c r="N6" s="124"/>
      <c r="O6" s="124"/>
    </row>
    <row r="7" spans="1:15">
      <c r="H7" s="124"/>
      <c r="I7" s="124"/>
      <c r="J7" s="126"/>
      <c r="K7" s="126"/>
      <c r="L7" s="124"/>
      <c r="M7" s="124"/>
      <c r="N7" s="124"/>
      <c r="O7" s="124"/>
    </row>
    <row r="8" spans="1:15">
      <c r="H8" s="124"/>
      <c r="I8" s="124"/>
      <c r="J8" s="127"/>
      <c r="K8" s="124"/>
      <c r="L8" s="124"/>
      <c r="M8" s="124"/>
      <c r="N8" s="124"/>
      <c r="O8" s="124"/>
    </row>
    <row r="9" spans="1:15">
      <c r="H9" s="124"/>
      <c r="I9" s="124"/>
      <c r="J9" s="124"/>
      <c r="K9" s="124"/>
      <c r="L9" s="124"/>
      <c r="M9" s="124"/>
      <c r="N9" s="124"/>
      <c r="O9" s="124"/>
    </row>
    <row r="10" spans="1:15">
      <c r="H10" s="124"/>
      <c r="I10" s="124"/>
      <c r="J10" s="124"/>
      <c r="K10" s="124"/>
      <c r="L10" s="124"/>
      <c r="M10" s="124"/>
      <c r="N10" s="124"/>
      <c r="O10" s="124"/>
    </row>
    <row r="11" spans="1:15">
      <c r="H11" s="124"/>
      <c r="I11" s="124"/>
      <c r="J11" s="124"/>
      <c r="K11" s="124"/>
      <c r="L11" s="124"/>
      <c r="M11" s="124"/>
      <c r="N11" s="124"/>
      <c r="O11" s="124"/>
    </row>
    <row r="12" spans="1:15">
      <c r="H12" s="124"/>
      <c r="I12" s="124"/>
      <c r="J12" s="124"/>
      <c r="K12" s="124"/>
      <c r="L12" s="124"/>
      <c r="M12" s="124"/>
      <c r="N12" s="124"/>
      <c r="O12" s="124"/>
    </row>
    <row r="13" spans="1:15" ht="60.75" customHeight="1">
      <c r="H13" s="124"/>
      <c r="I13" s="124"/>
      <c r="J13" s="124"/>
      <c r="K13" s="124"/>
      <c r="L13" s="124"/>
      <c r="M13" s="124"/>
      <c r="N13" s="124"/>
      <c r="O13" s="124"/>
    </row>
    <row r="14" spans="1:15">
      <c r="A14" s="8"/>
      <c r="B14" s="75" t="s">
        <v>3</v>
      </c>
      <c r="C14" s="76"/>
      <c r="D14" s="76"/>
      <c r="E14" s="76"/>
      <c r="F14" s="77"/>
      <c r="H14" s="124"/>
      <c r="I14" s="124"/>
      <c r="J14" s="124"/>
      <c r="K14" s="124"/>
      <c r="L14" s="124"/>
      <c r="M14" s="124"/>
      <c r="N14" s="124"/>
      <c r="O14" s="124"/>
    </row>
    <row r="15" spans="1:15" ht="45.75">
      <c r="A15" s="45"/>
      <c r="B15" s="46" t="s">
        <v>4</v>
      </c>
      <c r="C15" s="48" t="s">
        <v>5</v>
      </c>
      <c r="D15" s="46" t="s">
        <v>6</v>
      </c>
      <c r="E15" s="47" t="s">
        <v>7</v>
      </c>
      <c r="F15" s="47" t="s">
        <v>8</v>
      </c>
      <c r="H15" s="124"/>
      <c r="I15" s="124"/>
      <c r="J15" s="124"/>
      <c r="K15" s="124"/>
      <c r="L15" s="124"/>
      <c r="M15" s="124"/>
      <c r="N15" s="124"/>
      <c r="O15" s="124"/>
    </row>
    <row r="16" spans="1:15">
      <c r="A16" s="2">
        <v>1</v>
      </c>
      <c r="B16" s="56" t="s">
        <v>109</v>
      </c>
      <c r="C16" s="2" t="s">
        <v>21</v>
      </c>
      <c r="D16" s="23">
        <v>2</v>
      </c>
      <c r="E16" s="24">
        <v>30</v>
      </c>
      <c r="F16" s="38">
        <v>0</v>
      </c>
      <c r="H16" s="124"/>
      <c r="I16" s="124"/>
      <c r="J16" s="124"/>
      <c r="K16" s="124"/>
      <c r="L16" s="124"/>
      <c r="M16" s="124"/>
      <c r="N16" s="124"/>
      <c r="O16" s="124"/>
    </row>
    <row r="17" spans="1:15">
      <c r="A17" s="2">
        <v>2</v>
      </c>
      <c r="B17" s="56" t="s">
        <v>110</v>
      </c>
      <c r="C17" s="2" t="s">
        <v>10</v>
      </c>
      <c r="D17" s="37">
        <v>1</v>
      </c>
      <c r="E17" s="24">
        <v>30</v>
      </c>
      <c r="F17" s="38">
        <v>0</v>
      </c>
      <c r="H17" s="124"/>
      <c r="I17" s="124"/>
      <c r="J17" s="124"/>
      <c r="K17" s="124"/>
      <c r="L17" s="124"/>
      <c r="M17" s="124"/>
      <c r="N17" s="124"/>
      <c r="O17" s="124"/>
    </row>
    <row r="18" spans="1:15">
      <c r="A18" s="2">
        <v>3</v>
      </c>
      <c r="B18" s="56" t="s">
        <v>111</v>
      </c>
      <c r="C18" s="2" t="s">
        <v>12</v>
      </c>
      <c r="D18" s="37">
        <v>1</v>
      </c>
      <c r="E18" s="24">
        <v>30</v>
      </c>
      <c r="F18" s="38">
        <v>0</v>
      </c>
      <c r="H18" s="124"/>
      <c r="I18" s="124"/>
      <c r="J18" s="124"/>
      <c r="K18" s="124"/>
      <c r="L18" s="124"/>
      <c r="M18" s="124"/>
      <c r="N18" s="124"/>
      <c r="O18" s="124"/>
    </row>
    <row r="19" spans="1:15">
      <c r="A19" s="2">
        <v>4</v>
      </c>
      <c r="B19" s="56" t="s">
        <v>112</v>
      </c>
      <c r="C19" s="2" t="s">
        <v>14</v>
      </c>
      <c r="D19" s="23">
        <v>1</v>
      </c>
      <c r="E19" s="24">
        <v>30</v>
      </c>
      <c r="F19" s="38">
        <v>0</v>
      </c>
      <c r="H19" s="124"/>
      <c r="I19" s="124"/>
      <c r="J19" s="124"/>
      <c r="K19" s="124"/>
      <c r="L19" s="124"/>
      <c r="M19" s="124"/>
      <c r="N19" s="124"/>
      <c r="O19" s="124"/>
    </row>
    <row r="20" spans="1:15">
      <c r="A20" s="2">
        <v>5</v>
      </c>
      <c r="B20" s="56" t="s">
        <v>113</v>
      </c>
      <c r="C20" s="2" t="s">
        <v>16</v>
      </c>
      <c r="D20" s="23">
        <v>4</v>
      </c>
      <c r="E20" s="24">
        <v>10</v>
      </c>
      <c r="F20" s="38">
        <v>0</v>
      </c>
      <c r="H20" s="124"/>
      <c r="I20" s="124"/>
      <c r="J20" s="124"/>
      <c r="K20" s="124"/>
      <c r="L20" s="124"/>
      <c r="M20" s="124"/>
      <c r="N20" s="124"/>
      <c r="O20" s="124"/>
    </row>
    <row r="21" spans="1:15">
      <c r="A21" s="2">
        <v>6</v>
      </c>
      <c r="B21" s="56" t="s">
        <v>114</v>
      </c>
      <c r="C21" s="2" t="s">
        <v>18</v>
      </c>
      <c r="D21" s="37">
        <v>1</v>
      </c>
      <c r="E21" s="24">
        <v>30</v>
      </c>
      <c r="F21" s="38">
        <v>0</v>
      </c>
      <c r="H21" s="124"/>
      <c r="I21" s="124"/>
      <c r="J21" s="124"/>
      <c r="K21" s="124"/>
      <c r="L21" s="124"/>
      <c r="M21" s="124"/>
      <c r="N21" s="124"/>
      <c r="O21" s="124"/>
    </row>
    <row r="22" spans="1:15">
      <c r="A22" s="2">
        <v>7</v>
      </c>
      <c r="B22" s="56" t="s">
        <v>103</v>
      </c>
      <c r="C22" s="2" t="s">
        <v>10</v>
      </c>
      <c r="D22" s="37">
        <v>1</v>
      </c>
      <c r="E22" s="24">
        <v>30</v>
      </c>
      <c r="F22" s="38">
        <v>0</v>
      </c>
    </row>
    <row r="23" spans="1:15">
      <c r="A23" s="2">
        <v>8</v>
      </c>
      <c r="B23" s="56" t="s">
        <v>104</v>
      </c>
      <c r="C23" s="2" t="s">
        <v>21</v>
      </c>
      <c r="D23" s="37">
        <v>1</v>
      </c>
      <c r="E23" s="24">
        <v>30</v>
      </c>
      <c r="F23" s="38">
        <v>0</v>
      </c>
    </row>
    <row r="24" spans="1:15">
      <c r="A24" s="2">
        <v>9</v>
      </c>
      <c r="B24" s="60" t="s">
        <v>115</v>
      </c>
      <c r="C24" s="2" t="s">
        <v>21</v>
      </c>
      <c r="D24" s="37">
        <v>1</v>
      </c>
      <c r="E24" s="24">
        <v>30</v>
      </c>
      <c r="F24" s="38">
        <v>0</v>
      </c>
    </row>
    <row r="25" spans="1:15">
      <c r="A25" s="2">
        <v>10</v>
      </c>
      <c r="B25" s="70" t="s">
        <v>116</v>
      </c>
      <c r="C25" s="2" t="s">
        <v>12</v>
      </c>
      <c r="D25" s="37">
        <v>1</v>
      </c>
      <c r="E25" s="24">
        <v>60</v>
      </c>
      <c r="F25" s="38">
        <v>0</v>
      </c>
    </row>
    <row r="26" spans="1:15">
      <c r="A26" s="2">
        <v>11</v>
      </c>
      <c r="B26" s="71" t="s">
        <v>81</v>
      </c>
      <c r="C26" s="2" t="s">
        <v>12</v>
      </c>
      <c r="D26" s="37">
        <v>1</v>
      </c>
      <c r="E26" s="26">
        <v>50</v>
      </c>
      <c r="F26" s="38">
        <v>0</v>
      </c>
    </row>
    <row r="27" spans="1:15">
      <c r="A27" s="2">
        <v>12</v>
      </c>
      <c r="B27" s="31" t="s">
        <v>117</v>
      </c>
      <c r="C27" s="2" t="s">
        <v>14</v>
      </c>
      <c r="D27" s="37">
        <v>1</v>
      </c>
      <c r="E27" s="24">
        <v>30</v>
      </c>
      <c r="F27" s="38">
        <v>0</v>
      </c>
    </row>
    <row r="28" spans="1:15">
      <c r="A28" s="2">
        <v>13</v>
      </c>
      <c r="B28" s="31" t="s">
        <v>118</v>
      </c>
      <c r="C28" s="2" t="s">
        <v>16</v>
      </c>
      <c r="D28" s="37">
        <v>1</v>
      </c>
      <c r="E28" s="24">
        <v>30</v>
      </c>
      <c r="F28" s="38">
        <v>0</v>
      </c>
    </row>
    <row r="29" spans="1:15">
      <c r="A29" s="2">
        <v>14</v>
      </c>
      <c r="B29" s="71" t="s">
        <v>81</v>
      </c>
      <c r="C29" s="2" t="s">
        <v>18</v>
      </c>
      <c r="D29" s="37">
        <v>1</v>
      </c>
      <c r="E29" s="24">
        <v>30</v>
      </c>
      <c r="F29" s="38">
        <v>0</v>
      </c>
    </row>
    <row r="30" spans="1:15">
      <c r="A30" s="2">
        <v>15</v>
      </c>
      <c r="B30" s="4" t="s">
        <v>78</v>
      </c>
      <c r="C30" s="2" t="s">
        <v>10</v>
      </c>
      <c r="D30" s="37">
        <v>1</v>
      </c>
      <c r="E30" s="24">
        <v>30</v>
      </c>
      <c r="F30" s="38">
        <v>0</v>
      </c>
    </row>
    <row r="31" spans="1:15">
      <c r="A31" s="2">
        <v>16</v>
      </c>
      <c r="B31" s="72" t="s">
        <v>79</v>
      </c>
      <c r="C31" s="2" t="s">
        <v>21</v>
      </c>
      <c r="D31" s="37">
        <v>1</v>
      </c>
      <c r="E31" s="24">
        <v>30</v>
      </c>
      <c r="F31" s="38">
        <v>0</v>
      </c>
    </row>
    <row r="32" spans="1:15">
      <c r="A32" s="2">
        <v>17</v>
      </c>
      <c r="B32" s="70" t="s">
        <v>119</v>
      </c>
      <c r="C32" s="2" t="s">
        <v>21</v>
      </c>
      <c r="D32" s="37">
        <v>1</v>
      </c>
      <c r="E32" s="24">
        <v>30</v>
      </c>
      <c r="F32" s="38">
        <v>0</v>
      </c>
    </row>
    <row r="33" spans="1:6">
      <c r="A33" s="2">
        <v>18</v>
      </c>
      <c r="B33" s="70" t="s">
        <v>120</v>
      </c>
      <c r="C33" s="2" t="s">
        <v>12</v>
      </c>
      <c r="D33" s="37">
        <v>1</v>
      </c>
      <c r="E33" s="24">
        <v>30</v>
      </c>
      <c r="F33" s="38">
        <v>0</v>
      </c>
    </row>
    <row r="34" spans="1:6">
      <c r="A34" s="2">
        <v>19</v>
      </c>
      <c r="B34" s="73" t="s">
        <v>81</v>
      </c>
      <c r="C34" s="2" t="s">
        <v>10</v>
      </c>
      <c r="D34" s="37">
        <v>1</v>
      </c>
      <c r="E34" s="24">
        <v>30</v>
      </c>
      <c r="F34" s="38">
        <v>0</v>
      </c>
    </row>
    <row r="35" spans="1:6">
      <c r="A35" s="2">
        <v>20</v>
      </c>
      <c r="B35" s="74" t="s">
        <v>72</v>
      </c>
      <c r="C35" s="2" t="s">
        <v>21</v>
      </c>
      <c r="D35" s="37">
        <v>1</v>
      </c>
      <c r="E35" s="24">
        <v>30</v>
      </c>
      <c r="F35" s="38">
        <v>0</v>
      </c>
    </row>
    <row r="36" spans="1:6">
      <c r="A36" s="2">
        <v>21</v>
      </c>
      <c r="B36" s="35" t="s">
        <v>73</v>
      </c>
      <c r="C36" s="2" t="s">
        <v>21</v>
      </c>
      <c r="D36" s="37">
        <v>1</v>
      </c>
      <c r="E36" s="24">
        <v>10</v>
      </c>
      <c r="F36" s="38">
        <v>0</v>
      </c>
    </row>
    <row r="37" spans="1:6">
      <c r="A37" s="2">
        <v>22</v>
      </c>
      <c r="B37" s="35" t="s">
        <v>74</v>
      </c>
      <c r="C37" s="2" t="s">
        <v>12</v>
      </c>
      <c r="D37" s="37">
        <v>1</v>
      </c>
      <c r="E37" s="24">
        <v>10</v>
      </c>
      <c r="F37" s="38">
        <v>0</v>
      </c>
    </row>
    <row r="38" spans="1:6">
      <c r="A38" s="2">
        <v>23</v>
      </c>
      <c r="B38" s="35" t="s">
        <v>75</v>
      </c>
      <c r="C38" s="2" t="s">
        <v>12</v>
      </c>
      <c r="D38" s="37">
        <v>1</v>
      </c>
      <c r="E38" s="24">
        <v>30</v>
      </c>
      <c r="F38" s="38">
        <v>0</v>
      </c>
    </row>
    <row r="39" spans="1:6">
      <c r="A39" s="2">
        <v>24</v>
      </c>
      <c r="B39" s="35" t="s">
        <v>76</v>
      </c>
      <c r="C39" s="2" t="s">
        <v>14</v>
      </c>
      <c r="D39" s="37">
        <v>1</v>
      </c>
      <c r="E39" s="24">
        <v>30</v>
      </c>
      <c r="F39" s="38">
        <v>0</v>
      </c>
    </row>
    <row r="40" spans="1:6">
      <c r="A40" s="2">
        <v>25</v>
      </c>
      <c r="B40" s="35" t="s">
        <v>121</v>
      </c>
      <c r="C40" s="2" t="s">
        <v>16</v>
      </c>
      <c r="D40" s="37">
        <v>1</v>
      </c>
      <c r="E40" s="24">
        <v>30</v>
      </c>
      <c r="F40" s="38">
        <v>0</v>
      </c>
    </row>
    <row r="41" spans="1:6">
      <c r="A41" s="2">
        <v>26</v>
      </c>
      <c r="B41" s="31" t="s">
        <v>119</v>
      </c>
      <c r="C41" s="2" t="s">
        <v>18</v>
      </c>
      <c r="D41" s="37">
        <v>1</v>
      </c>
      <c r="E41" s="24">
        <v>10</v>
      </c>
      <c r="F41" s="38">
        <v>0</v>
      </c>
    </row>
    <row r="42" spans="1:6">
      <c r="A42" s="2">
        <v>27</v>
      </c>
      <c r="B42" s="31" t="s">
        <v>120</v>
      </c>
      <c r="C42" s="2" t="s">
        <v>10</v>
      </c>
      <c r="D42" s="37">
        <v>1</v>
      </c>
      <c r="E42" s="24">
        <v>78</v>
      </c>
      <c r="F42" s="38">
        <v>0</v>
      </c>
    </row>
    <row r="43" spans="1:6">
      <c r="A43" s="2">
        <v>28</v>
      </c>
      <c r="B43" s="31" t="s">
        <v>122</v>
      </c>
      <c r="C43" s="2" t="s">
        <v>21</v>
      </c>
      <c r="D43" s="37">
        <v>1</v>
      </c>
      <c r="E43" s="24">
        <v>30</v>
      </c>
      <c r="F43" s="38">
        <v>0</v>
      </c>
    </row>
    <row r="44" spans="1:6">
      <c r="A44" s="2">
        <v>29</v>
      </c>
      <c r="B44" s="31" t="s">
        <v>123</v>
      </c>
      <c r="C44" s="2" t="s">
        <v>10</v>
      </c>
      <c r="D44" s="37">
        <v>1</v>
      </c>
      <c r="E44" s="24">
        <v>30</v>
      </c>
      <c r="F44" s="38">
        <v>0</v>
      </c>
    </row>
    <row r="45" spans="1:6">
      <c r="A45" s="2">
        <v>30</v>
      </c>
      <c r="B45" s="31" t="s">
        <v>117</v>
      </c>
      <c r="C45" s="2" t="s">
        <v>21</v>
      </c>
      <c r="D45" s="37">
        <v>1</v>
      </c>
      <c r="E45" s="24">
        <v>30</v>
      </c>
      <c r="F45" s="38">
        <v>0</v>
      </c>
    </row>
    <row r="46" spans="1:6">
      <c r="A46" s="2">
        <v>31</v>
      </c>
      <c r="B46" s="31" t="s">
        <v>118</v>
      </c>
      <c r="C46" s="2" t="s">
        <v>21</v>
      </c>
      <c r="D46" s="37">
        <v>1</v>
      </c>
      <c r="E46" s="24">
        <v>10</v>
      </c>
      <c r="F46" s="38">
        <v>0</v>
      </c>
    </row>
    <row r="47" spans="1:6">
      <c r="A47" s="2">
        <v>32</v>
      </c>
      <c r="B47" s="31" t="s">
        <v>116</v>
      </c>
      <c r="C47" s="2" t="s">
        <v>12</v>
      </c>
      <c r="D47" s="37">
        <v>1</v>
      </c>
      <c r="E47" s="24">
        <v>30</v>
      </c>
      <c r="F47" s="38">
        <v>0</v>
      </c>
    </row>
    <row r="48" spans="1:6">
      <c r="A48" s="2">
        <v>33</v>
      </c>
      <c r="B48" s="14" t="s">
        <v>124</v>
      </c>
      <c r="C48" s="2" t="s">
        <v>12</v>
      </c>
      <c r="D48" s="37">
        <v>1</v>
      </c>
      <c r="E48" s="24">
        <v>30</v>
      </c>
      <c r="F48" s="38">
        <v>0</v>
      </c>
    </row>
    <row r="49" spans="1:6">
      <c r="A49" s="2">
        <v>34</v>
      </c>
      <c r="B49" s="18" t="s">
        <v>125</v>
      </c>
      <c r="C49" s="2" t="s">
        <v>14</v>
      </c>
      <c r="D49" s="37">
        <v>1</v>
      </c>
      <c r="E49" s="24">
        <v>10</v>
      </c>
      <c r="F49" s="38">
        <v>0</v>
      </c>
    </row>
    <row r="50" spans="1:6">
      <c r="A50" s="2">
        <v>35</v>
      </c>
      <c r="B50" s="31" t="s">
        <v>122</v>
      </c>
      <c r="C50" s="2" t="s">
        <v>16</v>
      </c>
      <c r="D50" s="37">
        <v>1</v>
      </c>
      <c r="E50" s="26">
        <v>20</v>
      </c>
      <c r="F50" s="38">
        <v>0</v>
      </c>
    </row>
    <row r="51" spans="1:6">
      <c r="A51" s="2">
        <v>36</v>
      </c>
      <c r="B51" s="31" t="s">
        <v>123</v>
      </c>
      <c r="C51" s="2" t="s">
        <v>18</v>
      </c>
      <c r="D51" s="37">
        <v>1</v>
      </c>
      <c r="E51" s="24">
        <v>30</v>
      </c>
      <c r="F51" s="38">
        <v>0</v>
      </c>
    </row>
    <row r="52" spans="1:6">
      <c r="A52" s="2">
        <v>37</v>
      </c>
      <c r="B52" s="28" t="s">
        <v>81</v>
      </c>
      <c r="C52" s="2" t="s">
        <v>10</v>
      </c>
      <c r="D52" s="37">
        <v>1</v>
      </c>
      <c r="E52" s="24">
        <v>30</v>
      </c>
      <c r="F52" s="38">
        <v>0</v>
      </c>
    </row>
    <row r="53" spans="1:6">
      <c r="A53" s="2">
        <v>39</v>
      </c>
      <c r="B53" s="60" t="s">
        <v>82</v>
      </c>
      <c r="C53" s="2" t="s">
        <v>10</v>
      </c>
      <c r="D53" s="37">
        <v>1</v>
      </c>
      <c r="E53" s="24">
        <v>30</v>
      </c>
      <c r="F53" s="38">
        <v>0</v>
      </c>
    </row>
    <row r="54" spans="1:6">
      <c r="A54" s="2">
        <v>40</v>
      </c>
      <c r="B54" s="56" t="s">
        <v>85</v>
      </c>
      <c r="C54" s="2" t="s">
        <v>21</v>
      </c>
      <c r="D54" s="37">
        <v>2</v>
      </c>
      <c r="E54" s="24">
        <v>10</v>
      </c>
      <c r="F54" s="38">
        <v>0</v>
      </c>
    </row>
    <row r="55" spans="1:6">
      <c r="A55" s="2">
        <v>41</v>
      </c>
      <c r="B55" s="56" t="s">
        <v>86</v>
      </c>
      <c r="C55" s="2" t="s">
        <v>10</v>
      </c>
      <c r="D55" s="37">
        <v>2</v>
      </c>
      <c r="E55" s="26">
        <v>20</v>
      </c>
      <c r="F55" s="38">
        <v>0</v>
      </c>
    </row>
    <row r="56" spans="1:6">
      <c r="A56" s="2">
        <v>42</v>
      </c>
      <c r="B56" s="56" t="s">
        <v>87</v>
      </c>
      <c r="C56" s="2" t="s">
        <v>21</v>
      </c>
      <c r="D56" s="37">
        <v>2</v>
      </c>
      <c r="E56" s="24">
        <v>30</v>
      </c>
      <c r="F56" s="38">
        <v>0</v>
      </c>
    </row>
    <row r="57" spans="1:6">
      <c r="A57" s="2">
        <v>43</v>
      </c>
      <c r="B57" s="56" t="s">
        <v>88</v>
      </c>
      <c r="C57" s="2" t="s">
        <v>21</v>
      </c>
      <c r="D57" s="37">
        <v>2</v>
      </c>
      <c r="E57" s="24">
        <v>30</v>
      </c>
      <c r="F57" s="38">
        <v>0</v>
      </c>
    </row>
    <row r="58" spans="1:6">
      <c r="A58" s="2">
        <v>44</v>
      </c>
      <c r="B58" s="56" t="s">
        <v>89</v>
      </c>
      <c r="C58" s="2" t="s">
        <v>12</v>
      </c>
      <c r="D58" s="37">
        <v>2</v>
      </c>
      <c r="E58" s="24">
        <v>10</v>
      </c>
      <c r="F58" s="38">
        <v>0</v>
      </c>
    </row>
    <row r="59" spans="1:6">
      <c r="A59" s="2">
        <v>45</v>
      </c>
      <c r="B59" s="56" t="s">
        <v>102</v>
      </c>
      <c r="C59" s="2" t="s">
        <v>12</v>
      </c>
      <c r="D59" s="37">
        <v>2</v>
      </c>
      <c r="E59" s="26">
        <v>20</v>
      </c>
      <c r="F59" s="38">
        <v>0</v>
      </c>
    </row>
    <row r="60" spans="1:6">
      <c r="A60" s="2">
        <v>46</v>
      </c>
      <c r="B60" s="56" t="s">
        <v>103</v>
      </c>
      <c r="C60" s="2" t="s">
        <v>14</v>
      </c>
      <c r="D60" s="112">
        <v>2</v>
      </c>
      <c r="E60" s="118">
        <v>30</v>
      </c>
      <c r="F60" s="119">
        <v>0</v>
      </c>
    </row>
    <row r="61" spans="1:6">
      <c r="D61" s="2">
        <f t="shared" ref="D61:F61" si="0">SUM(D16:D60)</f>
        <v>56</v>
      </c>
      <c r="E61" s="2">
        <f t="shared" si="0"/>
        <v>1258</v>
      </c>
      <c r="F61" s="2">
        <f t="shared" si="0"/>
        <v>0</v>
      </c>
    </row>
  </sheetData>
  <mergeCells count="8">
    <mergeCell ref="B14:F14"/>
    <mergeCell ref="J7:K7"/>
    <mergeCell ref="A1:B3"/>
    <mergeCell ref="C1:K3"/>
    <mergeCell ref="L1:M3"/>
    <mergeCell ref="A4:B5"/>
    <mergeCell ref="C4:K5"/>
    <mergeCell ref="L4:M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19199-44E1-4EC5-92FE-F16FEC74F0F6}">
  <dimension ref="A1:M51"/>
  <sheetViews>
    <sheetView topLeftCell="A41" workbookViewId="0">
      <selection activeCell="E27" sqref="E27:E32"/>
    </sheetView>
  </sheetViews>
  <sheetFormatPr defaultRowHeight="15"/>
  <cols>
    <col min="2" max="2" width="44.7109375" bestFit="1" customWidth="1"/>
    <col min="3" max="3" width="19.28515625" customWidth="1"/>
    <col min="4" max="4" width="17.42578125" bestFit="1" customWidth="1"/>
    <col min="5" max="5" width="13.42578125" customWidth="1"/>
    <col min="6" max="6" width="13.140625" customWidth="1"/>
    <col min="11" max="11" width="15.5703125" customWidth="1"/>
  </cols>
  <sheetData>
    <row r="1" spans="1:13">
      <c r="A1" s="79"/>
      <c r="B1" s="79"/>
      <c r="C1" s="80" t="s">
        <v>41</v>
      </c>
      <c r="D1" s="80"/>
      <c r="E1" s="80"/>
      <c r="F1" s="80"/>
      <c r="G1" s="80"/>
      <c r="H1" s="80"/>
      <c r="I1" s="80"/>
      <c r="J1" s="80"/>
      <c r="K1" s="80"/>
      <c r="L1" s="81"/>
      <c r="M1" s="81"/>
    </row>
    <row r="2" spans="1:13">
      <c r="A2" s="79"/>
      <c r="B2" s="79"/>
      <c r="C2" s="80"/>
      <c r="D2" s="80"/>
      <c r="E2" s="80"/>
      <c r="F2" s="80"/>
      <c r="G2" s="80"/>
      <c r="H2" s="80"/>
      <c r="I2" s="80"/>
      <c r="J2" s="80"/>
      <c r="K2" s="80"/>
      <c r="L2" s="81"/>
      <c r="M2" s="81"/>
    </row>
    <row r="3" spans="1:13">
      <c r="A3" s="79"/>
      <c r="B3" s="79"/>
      <c r="C3" s="80"/>
      <c r="D3" s="80"/>
      <c r="E3" s="80"/>
      <c r="F3" s="80"/>
      <c r="G3" s="80"/>
      <c r="H3" s="80"/>
      <c r="I3" s="80"/>
      <c r="J3" s="80"/>
      <c r="K3" s="80"/>
      <c r="L3" s="81"/>
      <c r="M3" s="81"/>
    </row>
    <row r="4" spans="1:13">
      <c r="A4" s="82" t="s">
        <v>90</v>
      </c>
      <c r="B4" s="82"/>
      <c r="C4" s="83" t="s">
        <v>42</v>
      </c>
      <c r="D4" s="83"/>
      <c r="E4" s="83"/>
      <c r="F4" s="83"/>
      <c r="G4" s="83"/>
      <c r="H4" s="83"/>
      <c r="I4" s="83"/>
      <c r="J4" s="83"/>
      <c r="K4" s="83"/>
      <c r="L4" s="84" t="s">
        <v>0</v>
      </c>
      <c r="M4" s="84"/>
    </row>
    <row r="5" spans="1:13">
      <c r="A5" s="82"/>
      <c r="B5" s="82"/>
      <c r="C5" s="83"/>
      <c r="D5" s="83"/>
      <c r="E5" s="83"/>
      <c r="F5" s="83"/>
      <c r="G5" s="83"/>
      <c r="H5" s="83"/>
      <c r="I5" s="83"/>
      <c r="J5" s="83"/>
      <c r="K5" s="83"/>
      <c r="L5" s="33" t="s">
        <v>1</v>
      </c>
      <c r="M5" s="34" t="s">
        <v>2</v>
      </c>
    </row>
    <row r="7" spans="1:13">
      <c r="G7" s="124"/>
      <c r="H7" s="124"/>
      <c r="I7" s="124"/>
      <c r="J7" s="126"/>
      <c r="K7" s="126"/>
      <c r="L7" s="124"/>
    </row>
    <row r="8" spans="1:13">
      <c r="G8" s="124"/>
      <c r="H8" s="124"/>
      <c r="I8" s="124"/>
      <c r="J8" s="127"/>
      <c r="K8" s="124"/>
      <c r="L8" s="124"/>
    </row>
    <row r="9" spans="1:13">
      <c r="G9" s="124"/>
      <c r="H9" s="124"/>
      <c r="I9" s="124"/>
      <c r="J9" s="124"/>
      <c r="K9" s="124"/>
      <c r="L9" s="124"/>
    </row>
    <row r="10" spans="1:13">
      <c r="G10" s="124"/>
      <c r="H10" s="124"/>
      <c r="I10" s="124"/>
      <c r="J10" s="124"/>
      <c r="K10" s="124"/>
      <c r="L10" s="124"/>
    </row>
    <row r="11" spans="1:13">
      <c r="G11" s="124"/>
      <c r="H11" s="124"/>
      <c r="I11" s="124"/>
      <c r="J11" s="124"/>
      <c r="K11" s="124"/>
      <c r="L11" s="124"/>
    </row>
    <row r="12" spans="1:13">
      <c r="G12" s="124"/>
      <c r="H12" s="124"/>
      <c r="I12" s="124"/>
      <c r="J12" s="124"/>
      <c r="K12" s="124"/>
      <c r="L12" s="124"/>
    </row>
    <row r="13" spans="1:13" ht="60.75" customHeight="1">
      <c r="G13" s="124"/>
      <c r="H13" s="124"/>
      <c r="I13" s="124"/>
      <c r="J13" s="124"/>
      <c r="K13" s="124"/>
      <c r="L13" s="124"/>
    </row>
    <row r="14" spans="1:13">
      <c r="A14" s="8"/>
      <c r="B14" s="75" t="s">
        <v>3</v>
      </c>
      <c r="C14" s="76"/>
      <c r="D14" s="76"/>
      <c r="E14" s="76"/>
      <c r="F14" s="76"/>
      <c r="G14" s="124"/>
      <c r="H14" s="124"/>
      <c r="I14" s="124"/>
      <c r="J14" s="124"/>
      <c r="K14" s="124"/>
      <c r="L14" s="124"/>
    </row>
    <row r="15" spans="1:13" ht="45.75">
      <c r="A15" s="45"/>
      <c r="B15" s="46" t="s">
        <v>4</v>
      </c>
      <c r="C15" s="48" t="s">
        <v>5</v>
      </c>
      <c r="D15" s="46" t="s">
        <v>6</v>
      </c>
      <c r="E15" s="47" t="s">
        <v>7</v>
      </c>
      <c r="F15" s="125" t="s">
        <v>8</v>
      </c>
      <c r="G15" s="124"/>
      <c r="H15" s="124"/>
      <c r="I15" s="124"/>
      <c r="J15" s="124"/>
      <c r="K15" s="124"/>
      <c r="L15" s="124"/>
    </row>
    <row r="16" spans="1:13">
      <c r="A16" s="2">
        <v>1</v>
      </c>
      <c r="B16" s="56" t="s">
        <v>104</v>
      </c>
      <c r="C16" s="2" t="s">
        <v>21</v>
      </c>
      <c r="D16" s="23">
        <v>2</v>
      </c>
      <c r="E16" s="24">
        <v>30</v>
      </c>
      <c r="F16" s="38">
        <v>0</v>
      </c>
    </row>
    <row r="17" spans="1:6">
      <c r="A17" s="2">
        <v>2</v>
      </c>
      <c r="B17" s="60" t="s">
        <v>115</v>
      </c>
      <c r="C17" s="2" t="s">
        <v>10</v>
      </c>
      <c r="D17" s="37">
        <v>1</v>
      </c>
      <c r="E17" s="24">
        <v>30</v>
      </c>
      <c r="F17" s="38">
        <v>0</v>
      </c>
    </row>
    <row r="18" spans="1:6">
      <c r="A18" s="2">
        <v>3</v>
      </c>
      <c r="B18" s="15" t="s">
        <v>126</v>
      </c>
      <c r="C18" s="2" t="s">
        <v>12</v>
      </c>
      <c r="D18" s="37">
        <v>1</v>
      </c>
      <c r="E18" s="24">
        <v>30</v>
      </c>
      <c r="F18" s="38">
        <v>0</v>
      </c>
    </row>
    <row r="19" spans="1:6">
      <c r="A19" s="2">
        <v>4</v>
      </c>
      <c r="B19" s="60" t="s">
        <v>127</v>
      </c>
      <c r="C19" s="2" t="s">
        <v>14</v>
      </c>
      <c r="D19" s="23">
        <v>1</v>
      </c>
      <c r="E19" s="24">
        <v>30</v>
      </c>
      <c r="F19" s="38">
        <v>0</v>
      </c>
    </row>
    <row r="20" spans="1:6">
      <c r="A20" s="2">
        <v>5</v>
      </c>
      <c r="B20" s="60" t="s">
        <v>126</v>
      </c>
      <c r="C20" s="2" t="s">
        <v>16</v>
      </c>
      <c r="D20" s="23">
        <v>4</v>
      </c>
      <c r="E20" s="24">
        <v>20</v>
      </c>
      <c r="F20" s="38">
        <v>0</v>
      </c>
    </row>
    <row r="21" spans="1:6">
      <c r="A21" s="2">
        <v>6</v>
      </c>
      <c r="B21" s="89" t="s">
        <v>128</v>
      </c>
      <c r="C21" s="2" t="s">
        <v>18</v>
      </c>
      <c r="D21" s="37">
        <v>1</v>
      </c>
      <c r="E21" s="24">
        <v>30</v>
      </c>
      <c r="F21" s="38">
        <v>0</v>
      </c>
    </row>
    <row r="22" spans="1:6">
      <c r="A22" s="2">
        <v>7</v>
      </c>
      <c r="B22" s="90" t="s">
        <v>129</v>
      </c>
      <c r="C22" s="2" t="s">
        <v>10</v>
      </c>
      <c r="D22" s="37">
        <v>1</v>
      </c>
      <c r="E22" s="24">
        <v>30</v>
      </c>
      <c r="F22" s="38">
        <v>0</v>
      </c>
    </row>
    <row r="23" spans="1:6">
      <c r="A23" s="2">
        <v>8</v>
      </c>
      <c r="B23" s="60" t="s">
        <v>130</v>
      </c>
      <c r="C23" s="2" t="s">
        <v>21</v>
      </c>
      <c r="D23" s="37">
        <v>1</v>
      </c>
      <c r="E23" s="24">
        <v>30</v>
      </c>
      <c r="F23" s="38">
        <v>0</v>
      </c>
    </row>
    <row r="24" spans="1:6">
      <c r="A24" s="2">
        <v>9</v>
      </c>
      <c r="B24" s="15" t="s">
        <v>126</v>
      </c>
      <c r="C24" s="2" t="s">
        <v>21</v>
      </c>
      <c r="D24" s="37">
        <v>1</v>
      </c>
      <c r="E24" s="24">
        <v>30</v>
      </c>
      <c r="F24" s="38">
        <v>0</v>
      </c>
    </row>
    <row r="25" spans="1:6">
      <c r="A25" s="2">
        <v>10</v>
      </c>
      <c r="B25" s="4" t="s">
        <v>78</v>
      </c>
      <c r="C25" s="2" t="s">
        <v>12</v>
      </c>
      <c r="D25" s="37">
        <v>1</v>
      </c>
      <c r="E25" s="24">
        <v>60</v>
      </c>
      <c r="F25" s="38">
        <v>0</v>
      </c>
    </row>
    <row r="26" spans="1:6">
      <c r="A26" s="2">
        <v>11</v>
      </c>
      <c r="B26" s="60" t="s">
        <v>127</v>
      </c>
      <c r="C26" s="2" t="s">
        <v>12</v>
      </c>
      <c r="D26" s="37">
        <v>3</v>
      </c>
      <c r="E26" s="26">
        <v>50</v>
      </c>
      <c r="F26" s="38">
        <v>0</v>
      </c>
    </row>
    <row r="27" spans="1:6">
      <c r="A27" s="2">
        <v>12</v>
      </c>
      <c r="B27" s="7" t="s">
        <v>131</v>
      </c>
      <c r="C27" s="2" t="s">
        <v>14</v>
      </c>
      <c r="D27" s="37">
        <v>1</v>
      </c>
      <c r="E27" s="24">
        <v>15</v>
      </c>
      <c r="F27" s="38">
        <v>0</v>
      </c>
    </row>
    <row r="28" spans="1:6">
      <c r="A28" s="2">
        <v>13</v>
      </c>
      <c r="B28" s="35" t="s">
        <v>132</v>
      </c>
      <c r="C28" s="2" t="s">
        <v>16</v>
      </c>
      <c r="D28" s="37">
        <v>1</v>
      </c>
      <c r="E28" s="24">
        <v>15</v>
      </c>
      <c r="F28" s="38">
        <v>0</v>
      </c>
    </row>
    <row r="29" spans="1:6">
      <c r="A29" s="2">
        <v>14</v>
      </c>
      <c r="B29" s="91" t="s">
        <v>133</v>
      </c>
      <c r="C29" s="2" t="s">
        <v>18</v>
      </c>
      <c r="D29" s="37">
        <v>1</v>
      </c>
      <c r="E29" s="24">
        <v>15</v>
      </c>
      <c r="F29" s="38">
        <v>0</v>
      </c>
    </row>
    <row r="30" spans="1:6">
      <c r="A30" s="2">
        <v>15</v>
      </c>
      <c r="B30" s="35" t="s">
        <v>134</v>
      </c>
      <c r="C30" s="2" t="s">
        <v>10</v>
      </c>
      <c r="D30" s="37">
        <v>1</v>
      </c>
      <c r="E30" s="24">
        <v>15</v>
      </c>
      <c r="F30" s="38">
        <v>0</v>
      </c>
    </row>
    <row r="31" spans="1:6">
      <c r="A31" s="2">
        <v>16</v>
      </c>
      <c r="B31" s="35" t="s">
        <v>135</v>
      </c>
      <c r="C31" s="2" t="s">
        <v>21</v>
      </c>
      <c r="D31" s="37">
        <v>2</v>
      </c>
      <c r="E31" s="24">
        <v>15</v>
      </c>
      <c r="F31" s="38">
        <v>0</v>
      </c>
    </row>
    <row r="32" spans="1:6">
      <c r="A32" s="2">
        <v>17</v>
      </c>
      <c r="B32" s="35" t="s">
        <v>136</v>
      </c>
      <c r="C32" s="2" t="s">
        <v>21</v>
      </c>
      <c r="D32" s="37">
        <v>1</v>
      </c>
      <c r="E32" s="24">
        <v>15</v>
      </c>
      <c r="F32" s="38">
        <v>0</v>
      </c>
    </row>
    <row r="33" spans="1:6">
      <c r="A33" s="2">
        <v>18</v>
      </c>
      <c r="B33" s="92" t="s">
        <v>137</v>
      </c>
      <c r="C33" s="2" t="s">
        <v>12</v>
      </c>
      <c r="D33" s="37">
        <v>3</v>
      </c>
      <c r="E33" s="24">
        <v>30</v>
      </c>
      <c r="F33" s="38">
        <v>0</v>
      </c>
    </row>
    <row r="34" spans="1:6">
      <c r="A34" s="2">
        <v>19</v>
      </c>
      <c r="B34" s="35" t="s">
        <v>138</v>
      </c>
      <c r="C34" s="2" t="s">
        <v>10</v>
      </c>
      <c r="D34" s="37">
        <v>1</v>
      </c>
      <c r="E34" s="24">
        <v>30</v>
      </c>
      <c r="F34" s="38">
        <v>0</v>
      </c>
    </row>
    <row r="35" spans="1:6">
      <c r="A35" s="2">
        <v>20</v>
      </c>
      <c r="B35" s="72" t="s">
        <v>126</v>
      </c>
      <c r="C35" s="2" t="s">
        <v>21</v>
      </c>
      <c r="D35" s="37">
        <v>2</v>
      </c>
      <c r="E35" s="24">
        <v>30</v>
      </c>
      <c r="F35" s="38">
        <v>0</v>
      </c>
    </row>
    <row r="36" spans="1:6">
      <c r="A36" s="2">
        <v>21</v>
      </c>
      <c r="B36" s="72" t="s">
        <v>124</v>
      </c>
      <c r="C36" s="2" t="s">
        <v>21</v>
      </c>
      <c r="D36" s="37">
        <v>2</v>
      </c>
      <c r="E36" s="24">
        <v>60</v>
      </c>
      <c r="F36" s="38">
        <v>0</v>
      </c>
    </row>
    <row r="37" spans="1:6">
      <c r="A37" s="2">
        <v>22</v>
      </c>
      <c r="B37" s="93" t="s">
        <v>125</v>
      </c>
      <c r="C37" s="2" t="s">
        <v>12</v>
      </c>
      <c r="D37" s="37">
        <v>1</v>
      </c>
      <c r="E37" s="24">
        <v>60</v>
      </c>
      <c r="F37" s="38">
        <v>0</v>
      </c>
    </row>
    <row r="38" spans="1:6">
      <c r="A38" s="2">
        <v>23</v>
      </c>
      <c r="B38" s="93" t="s">
        <v>139</v>
      </c>
      <c r="C38" s="2" t="s">
        <v>12</v>
      </c>
      <c r="D38" s="37">
        <v>3</v>
      </c>
      <c r="E38" s="24">
        <v>60</v>
      </c>
      <c r="F38" s="38">
        <v>0</v>
      </c>
    </row>
    <row r="39" spans="1:6">
      <c r="A39" s="2">
        <v>24</v>
      </c>
      <c r="B39" s="63" t="s">
        <v>84</v>
      </c>
      <c r="C39" s="2" t="s">
        <v>14</v>
      </c>
      <c r="D39" s="37">
        <v>1</v>
      </c>
      <c r="E39" s="24">
        <v>30</v>
      </c>
      <c r="F39" s="38">
        <v>0</v>
      </c>
    </row>
    <row r="40" spans="1:6">
      <c r="A40" s="2">
        <v>25</v>
      </c>
      <c r="B40" s="14" t="s">
        <v>140</v>
      </c>
      <c r="C40" s="2" t="s">
        <v>16</v>
      </c>
      <c r="D40" s="37">
        <v>1</v>
      </c>
      <c r="E40" s="24">
        <v>30</v>
      </c>
      <c r="F40" s="38">
        <v>0</v>
      </c>
    </row>
    <row r="41" spans="1:6">
      <c r="A41" s="2">
        <v>26</v>
      </c>
      <c r="B41" s="56" t="s">
        <v>141</v>
      </c>
      <c r="C41" s="2" t="s">
        <v>18</v>
      </c>
      <c r="D41" s="37">
        <v>3</v>
      </c>
      <c r="E41" s="24">
        <v>30</v>
      </c>
      <c r="F41" s="38">
        <v>0</v>
      </c>
    </row>
    <row r="42" spans="1:6">
      <c r="A42" s="2">
        <v>27</v>
      </c>
      <c r="B42" s="56" t="s">
        <v>142</v>
      </c>
      <c r="C42" s="2" t="s">
        <v>10</v>
      </c>
      <c r="D42" s="37">
        <v>1</v>
      </c>
      <c r="E42" s="24">
        <v>50</v>
      </c>
      <c r="F42" s="38">
        <v>0</v>
      </c>
    </row>
    <row r="43" spans="1:6">
      <c r="A43" s="2">
        <v>28</v>
      </c>
      <c r="B43" s="56" t="s">
        <v>143</v>
      </c>
      <c r="C43" s="2" t="s">
        <v>10</v>
      </c>
      <c r="D43" s="37">
        <v>2</v>
      </c>
      <c r="E43" s="24">
        <v>50</v>
      </c>
      <c r="F43" s="38">
        <v>0</v>
      </c>
    </row>
    <row r="44" spans="1:6">
      <c r="A44" s="2">
        <v>29</v>
      </c>
      <c r="B44" s="56" t="s">
        <v>85</v>
      </c>
      <c r="C44" s="2" t="s">
        <v>21</v>
      </c>
      <c r="D44" s="37">
        <v>4</v>
      </c>
      <c r="E44" s="24">
        <v>50</v>
      </c>
      <c r="F44" s="38">
        <v>0</v>
      </c>
    </row>
    <row r="45" spans="1:6">
      <c r="A45" s="2">
        <v>30</v>
      </c>
      <c r="B45" s="56" t="s">
        <v>86</v>
      </c>
      <c r="C45" s="2" t="s">
        <v>10</v>
      </c>
      <c r="D45" s="37">
        <v>2</v>
      </c>
      <c r="E45" s="24">
        <v>50</v>
      </c>
      <c r="F45" s="38">
        <v>0</v>
      </c>
    </row>
    <row r="46" spans="1:6">
      <c r="A46" s="2">
        <v>31</v>
      </c>
      <c r="B46" s="56" t="s">
        <v>87</v>
      </c>
      <c r="C46" s="2" t="s">
        <v>21</v>
      </c>
      <c r="D46" s="37">
        <v>2</v>
      </c>
      <c r="E46" s="24">
        <v>50</v>
      </c>
      <c r="F46" s="38">
        <v>0</v>
      </c>
    </row>
    <row r="47" spans="1:6">
      <c r="A47" s="2">
        <v>32</v>
      </c>
      <c r="B47" s="56" t="s">
        <v>88</v>
      </c>
      <c r="C47" s="2" t="s">
        <v>21</v>
      </c>
      <c r="D47" s="37">
        <v>2</v>
      </c>
      <c r="E47" s="24">
        <v>50</v>
      </c>
      <c r="F47" s="38">
        <v>0</v>
      </c>
    </row>
    <row r="48" spans="1:6">
      <c r="A48" s="2">
        <v>33</v>
      </c>
      <c r="B48" s="56" t="s">
        <v>89</v>
      </c>
      <c r="C48" s="2" t="s">
        <v>12</v>
      </c>
      <c r="D48" s="37">
        <v>2</v>
      </c>
      <c r="E48" s="24">
        <v>10</v>
      </c>
      <c r="F48" s="38">
        <v>0</v>
      </c>
    </row>
    <row r="49" spans="1:6">
      <c r="A49" s="2">
        <v>34</v>
      </c>
      <c r="B49" s="56" t="s">
        <v>102</v>
      </c>
      <c r="C49" s="2" t="s">
        <v>12</v>
      </c>
      <c r="D49" s="37">
        <v>2</v>
      </c>
      <c r="E49" s="26">
        <v>20</v>
      </c>
      <c r="F49" s="38">
        <v>0</v>
      </c>
    </row>
    <row r="50" spans="1:6">
      <c r="A50" s="2">
        <v>35</v>
      </c>
      <c r="B50" s="56" t="s">
        <v>103</v>
      </c>
      <c r="C50" s="2" t="s">
        <v>14</v>
      </c>
      <c r="D50" s="112">
        <v>2</v>
      </c>
      <c r="E50" s="118">
        <v>30</v>
      </c>
      <c r="F50" s="119">
        <v>0</v>
      </c>
    </row>
    <row r="51" spans="1:6">
      <c r="A51">
        <v>34</v>
      </c>
      <c r="D51" s="2">
        <f t="shared" ref="D51:F51" si="0">SUM(D16:D50)</f>
        <v>60</v>
      </c>
      <c r="E51" s="2">
        <f t="shared" si="0"/>
        <v>1180</v>
      </c>
      <c r="F51" s="2">
        <f t="shared" si="0"/>
        <v>0</v>
      </c>
    </row>
  </sheetData>
  <mergeCells count="8">
    <mergeCell ref="J7:K7"/>
    <mergeCell ref="B14:F14"/>
    <mergeCell ref="A1:B3"/>
    <mergeCell ref="C1:K3"/>
    <mergeCell ref="L1:M3"/>
    <mergeCell ref="A4:B5"/>
    <mergeCell ref="C4:K5"/>
    <mergeCell ref="L4:M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60A78-32B5-4FCC-A82A-D350A28FC285}">
  <dimension ref="A1:M71"/>
  <sheetViews>
    <sheetView workbookViewId="0">
      <selection activeCell="H7" sqref="H7:L15"/>
    </sheetView>
  </sheetViews>
  <sheetFormatPr defaultRowHeight="15"/>
  <cols>
    <col min="2" max="2" width="31.140625" customWidth="1"/>
    <col min="3" max="3" width="19.28515625" customWidth="1"/>
    <col min="4" max="4" width="20.28515625" customWidth="1"/>
    <col min="5" max="5" width="17.42578125" customWidth="1"/>
    <col min="6" max="6" width="10.42578125" customWidth="1"/>
    <col min="10" max="10" width="16.5703125" bestFit="1" customWidth="1"/>
  </cols>
  <sheetData>
    <row r="1" spans="1:13">
      <c r="A1" s="79"/>
      <c r="B1" s="79"/>
      <c r="C1" s="80" t="s">
        <v>41</v>
      </c>
      <c r="D1" s="80"/>
      <c r="E1" s="80"/>
      <c r="F1" s="80"/>
      <c r="G1" s="80"/>
      <c r="H1" s="80"/>
      <c r="I1" s="80"/>
      <c r="J1" s="80"/>
      <c r="K1" s="80"/>
      <c r="L1" s="81"/>
      <c r="M1" s="81"/>
    </row>
    <row r="2" spans="1:13">
      <c r="A2" s="79"/>
      <c r="B2" s="79"/>
      <c r="C2" s="80"/>
      <c r="D2" s="80"/>
      <c r="E2" s="80"/>
      <c r="F2" s="80"/>
      <c r="G2" s="80"/>
      <c r="H2" s="80"/>
      <c r="I2" s="80"/>
      <c r="J2" s="80"/>
      <c r="K2" s="80"/>
      <c r="L2" s="81"/>
      <c r="M2" s="81"/>
    </row>
    <row r="3" spans="1:13">
      <c r="A3" s="79"/>
      <c r="B3" s="79"/>
      <c r="C3" s="80"/>
      <c r="D3" s="80"/>
      <c r="E3" s="80"/>
      <c r="F3" s="80"/>
      <c r="G3" s="80"/>
      <c r="H3" s="80"/>
      <c r="I3" s="80"/>
      <c r="J3" s="80"/>
      <c r="K3" s="80"/>
      <c r="L3" s="81"/>
      <c r="M3" s="81"/>
    </row>
    <row r="4" spans="1:13">
      <c r="A4" s="82" t="s">
        <v>90</v>
      </c>
      <c r="B4" s="82"/>
      <c r="C4" s="83" t="s">
        <v>42</v>
      </c>
      <c r="D4" s="83"/>
      <c r="E4" s="83"/>
      <c r="F4" s="83"/>
      <c r="G4" s="83"/>
      <c r="H4" s="83"/>
      <c r="I4" s="83"/>
      <c r="J4" s="83"/>
      <c r="K4" s="83"/>
      <c r="L4" s="84" t="s">
        <v>0</v>
      </c>
      <c r="M4" s="84"/>
    </row>
    <row r="5" spans="1:13">
      <c r="A5" s="82"/>
      <c r="B5" s="82"/>
      <c r="C5" s="83"/>
      <c r="D5" s="83"/>
      <c r="E5" s="83"/>
      <c r="F5" s="83"/>
      <c r="G5" s="83"/>
      <c r="H5" s="83"/>
      <c r="I5" s="83"/>
      <c r="J5" s="83"/>
      <c r="K5" s="83"/>
      <c r="L5" s="33" t="s">
        <v>1</v>
      </c>
      <c r="M5" s="34" t="s">
        <v>2</v>
      </c>
    </row>
    <row r="7" spans="1:13">
      <c r="H7" s="124"/>
      <c r="I7" s="124"/>
      <c r="J7" s="124"/>
      <c r="K7" s="124"/>
      <c r="L7" s="124"/>
    </row>
    <row r="8" spans="1:13">
      <c r="H8" s="124"/>
      <c r="I8" s="127"/>
      <c r="J8" s="127"/>
      <c r="K8" s="124"/>
      <c r="L8" s="124"/>
    </row>
    <row r="9" spans="1:13">
      <c r="H9" s="124"/>
      <c r="I9" s="127"/>
      <c r="J9" s="124"/>
      <c r="K9" s="124"/>
      <c r="L9" s="124"/>
    </row>
    <row r="10" spans="1:13">
      <c r="H10" s="124"/>
      <c r="I10" s="124"/>
      <c r="J10" s="124"/>
      <c r="K10" s="124"/>
      <c r="L10" s="124"/>
    </row>
    <row r="11" spans="1:13">
      <c r="H11" s="124"/>
      <c r="I11" s="124"/>
      <c r="J11" s="124"/>
      <c r="K11" s="124"/>
      <c r="L11" s="124"/>
    </row>
    <row r="12" spans="1:13">
      <c r="H12" s="124"/>
      <c r="I12" s="124"/>
      <c r="J12" s="124"/>
      <c r="K12" s="124"/>
      <c r="L12" s="124"/>
    </row>
    <row r="13" spans="1:13">
      <c r="H13" s="124"/>
      <c r="I13" s="124"/>
      <c r="J13" s="124"/>
      <c r="K13" s="124"/>
      <c r="L13" s="124"/>
    </row>
    <row r="14" spans="1:13">
      <c r="A14" s="78" t="s">
        <v>144</v>
      </c>
      <c r="B14" s="78"/>
      <c r="C14" s="78"/>
      <c r="D14" s="78"/>
      <c r="E14" s="78"/>
      <c r="F14" s="78"/>
      <c r="H14" s="124"/>
      <c r="I14" s="124"/>
      <c r="J14" s="124"/>
      <c r="K14" s="124"/>
      <c r="L14" s="124"/>
    </row>
    <row r="15" spans="1:13" ht="45.75">
      <c r="A15" s="11"/>
      <c r="B15" s="46" t="s">
        <v>4</v>
      </c>
      <c r="C15" s="48" t="s">
        <v>5</v>
      </c>
      <c r="D15" s="46" t="s">
        <v>6</v>
      </c>
      <c r="E15" s="47" t="s">
        <v>8</v>
      </c>
      <c r="F15" s="43" t="s">
        <v>7</v>
      </c>
      <c r="H15" s="124"/>
      <c r="I15" s="124"/>
      <c r="J15" s="124"/>
      <c r="K15" s="124"/>
      <c r="L15" s="124"/>
    </row>
    <row r="16" spans="1:13">
      <c r="A16" s="1">
        <v>1</v>
      </c>
      <c r="B16" s="39" t="s">
        <v>145</v>
      </c>
      <c r="C16" s="1" t="s">
        <v>16</v>
      </c>
      <c r="D16" s="23">
        <v>2</v>
      </c>
      <c r="E16" s="23">
        <v>0</v>
      </c>
      <c r="F16" s="24">
        <v>40</v>
      </c>
    </row>
    <row r="17" spans="1:6">
      <c r="A17" s="1">
        <v>2</v>
      </c>
      <c r="B17" s="38" t="s">
        <v>146</v>
      </c>
      <c r="C17" s="1" t="s">
        <v>54</v>
      </c>
      <c r="D17" s="37">
        <v>1</v>
      </c>
      <c r="E17" s="23">
        <v>0</v>
      </c>
      <c r="F17" s="24">
        <v>40</v>
      </c>
    </row>
    <row r="18" spans="1:6">
      <c r="A18" s="1">
        <v>3</v>
      </c>
      <c r="B18" s="40" t="s">
        <v>147</v>
      </c>
      <c r="C18" s="1" t="s">
        <v>12</v>
      </c>
      <c r="D18" s="37">
        <v>1</v>
      </c>
      <c r="E18" s="23">
        <v>0</v>
      </c>
      <c r="F18" s="24">
        <v>30</v>
      </c>
    </row>
    <row r="19" spans="1:6">
      <c r="A19" s="1">
        <v>4</v>
      </c>
      <c r="B19" s="41" t="s">
        <v>148</v>
      </c>
      <c r="C19" s="1" t="s">
        <v>12</v>
      </c>
      <c r="D19" s="23">
        <v>1</v>
      </c>
      <c r="E19" s="23">
        <v>0</v>
      </c>
      <c r="F19" s="24">
        <v>45</v>
      </c>
    </row>
    <row r="20" spans="1:6">
      <c r="A20" s="1">
        <v>5</v>
      </c>
      <c r="B20" s="42" t="s">
        <v>149</v>
      </c>
      <c r="C20" s="1" t="s">
        <v>21</v>
      </c>
      <c r="D20" s="23">
        <v>4</v>
      </c>
      <c r="E20" s="23">
        <v>0</v>
      </c>
      <c r="F20" s="24">
        <v>60</v>
      </c>
    </row>
    <row r="21" spans="1:6">
      <c r="A21" s="1">
        <v>6</v>
      </c>
      <c r="B21" s="12" t="s">
        <v>150</v>
      </c>
      <c r="C21" s="1" t="s">
        <v>16</v>
      </c>
      <c r="D21" s="37">
        <v>0</v>
      </c>
      <c r="E21" s="37">
        <v>400</v>
      </c>
      <c r="F21" s="24">
        <v>30</v>
      </c>
    </row>
    <row r="22" spans="1:6" ht="24">
      <c r="A22" s="1">
        <v>7</v>
      </c>
      <c r="B22" s="42" t="s">
        <v>151</v>
      </c>
      <c r="C22" s="1" t="s">
        <v>16</v>
      </c>
      <c r="D22" s="37">
        <v>0</v>
      </c>
      <c r="E22" s="37">
        <v>200</v>
      </c>
      <c r="F22" s="24">
        <v>30</v>
      </c>
    </row>
    <row r="23" spans="1:6">
      <c r="A23" s="1">
        <v>8</v>
      </c>
      <c r="B23" s="12" t="s">
        <v>152</v>
      </c>
      <c r="C23" s="1" t="s">
        <v>16</v>
      </c>
      <c r="D23" s="37">
        <v>0</v>
      </c>
      <c r="E23" s="37">
        <v>300</v>
      </c>
      <c r="F23" s="24">
        <v>30</v>
      </c>
    </row>
    <row r="24" spans="1:6">
      <c r="A24" s="1">
        <v>9</v>
      </c>
      <c r="B24" s="12" t="s">
        <v>153</v>
      </c>
      <c r="C24" s="1" t="s">
        <v>16</v>
      </c>
      <c r="D24" s="37">
        <v>0</v>
      </c>
      <c r="E24" s="37">
        <v>300</v>
      </c>
      <c r="F24" s="24">
        <v>30</v>
      </c>
    </row>
    <row r="25" spans="1:6">
      <c r="A25" s="1">
        <v>10</v>
      </c>
      <c r="B25" s="12" t="s">
        <v>154</v>
      </c>
      <c r="C25" s="1" t="s">
        <v>16</v>
      </c>
      <c r="D25" s="37">
        <v>0</v>
      </c>
      <c r="E25" s="37">
        <v>300</v>
      </c>
      <c r="F25" s="24">
        <v>30</v>
      </c>
    </row>
    <row r="26" spans="1:6">
      <c r="A26" s="10">
        <v>11</v>
      </c>
      <c r="B26" s="20" t="s">
        <v>155</v>
      </c>
      <c r="C26" s="1" t="s">
        <v>16</v>
      </c>
      <c r="D26" s="37">
        <v>0</v>
      </c>
      <c r="E26" s="37">
        <v>400</v>
      </c>
      <c r="F26" s="24">
        <v>30</v>
      </c>
    </row>
    <row r="27" spans="1:6">
      <c r="A27" s="1">
        <v>12</v>
      </c>
      <c r="B27" s="12" t="s">
        <v>156</v>
      </c>
      <c r="C27" s="1" t="s">
        <v>16</v>
      </c>
      <c r="D27" s="37">
        <v>0</v>
      </c>
      <c r="E27" s="37">
        <v>300</v>
      </c>
      <c r="F27" s="24">
        <v>30</v>
      </c>
    </row>
    <row r="28" spans="1:6">
      <c r="A28" s="1">
        <v>13</v>
      </c>
      <c r="B28" s="12" t="s">
        <v>157</v>
      </c>
      <c r="C28" s="1" t="s">
        <v>16</v>
      </c>
      <c r="D28" s="37">
        <v>0</v>
      </c>
      <c r="E28" s="37">
        <v>400</v>
      </c>
      <c r="F28" s="24">
        <v>30</v>
      </c>
    </row>
    <row r="29" spans="1:6">
      <c r="A29" s="10">
        <v>14</v>
      </c>
      <c r="B29" s="12" t="s">
        <v>158</v>
      </c>
      <c r="C29" s="1" t="s">
        <v>16</v>
      </c>
      <c r="D29" s="37">
        <v>0</v>
      </c>
      <c r="E29" s="37">
        <v>600</v>
      </c>
      <c r="F29" s="24">
        <v>30</v>
      </c>
    </row>
    <row r="30" spans="1:6">
      <c r="A30" s="1">
        <v>15</v>
      </c>
      <c r="B30" s="12" t="s">
        <v>159</v>
      </c>
      <c r="C30" s="2" t="s">
        <v>18</v>
      </c>
      <c r="D30" s="37">
        <v>0</v>
      </c>
      <c r="E30" s="37">
        <v>500</v>
      </c>
      <c r="F30" s="24">
        <v>30</v>
      </c>
    </row>
    <row r="31" spans="1:6">
      <c r="A31" s="1">
        <v>16</v>
      </c>
      <c r="B31" s="12" t="s">
        <v>160</v>
      </c>
      <c r="C31" s="2" t="s">
        <v>10</v>
      </c>
      <c r="D31" s="37">
        <v>0</v>
      </c>
      <c r="E31" s="37">
        <v>400</v>
      </c>
      <c r="F31" s="24">
        <v>30</v>
      </c>
    </row>
    <row r="32" spans="1:6">
      <c r="A32" s="1">
        <v>17</v>
      </c>
      <c r="B32" s="12" t="s">
        <v>161</v>
      </c>
      <c r="C32" s="2" t="s">
        <v>21</v>
      </c>
      <c r="D32" s="37">
        <v>0</v>
      </c>
      <c r="E32" s="37">
        <v>200</v>
      </c>
      <c r="F32" s="24">
        <v>30</v>
      </c>
    </row>
    <row r="33" spans="1:6">
      <c r="A33" s="10">
        <v>18</v>
      </c>
      <c r="B33" s="12" t="s">
        <v>162</v>
      </c>
      <c r="C33" s="1" t="s">
        <v>16</v>
      </c>
      <c r="D33" s="37">
        <v>0</v>
      </c>
      <c r="E33" s="37">
        <v>4000</v>
      </c>
      <c r="F33" s="24"/>
    </row>
    <row r="34" spans="1:6">
      <c r="A34" s="1">
        <v>19</v>
      </c>
      <c r="B34" s="12" t="s">
        <v>163</v>
      </c>
      <c r="C34" s="1" t="s">
        <v>16</v>
      </c>
      <c r="D34" s="37">
        <v>0</v>
      </c>
      <c r="E34" s="37">
        <v>1500</v>
      </c>
      <c r="F34" s="24"/>
    </row>
    <row r="35" spans="1:6">
      <c r="A35" s="1">
        <v>20</v>
      </c>
      <c r="B35" s="42" t="s">
        <v>164</v>
      </c>
      <c r="C35" s="2" t="s">
        <v>21</v>
      </c>
      <c r="D35" s="37">
        <v>3</v>
      </c>
      <c r="E35" s="37">
        <v>0</v>
      </c>
      <c r="F35" s="1">
        <v>60</v>
      </c>
    </row>
    <row r="36" spans="1:6">
      <c r="A36" s="1">
        <v>21</v>
      </c>
      <c r="B36" s="42" t="s">
        <v>165</v>
      </c>
      <c r="C36" s="2" t="s">
        <v>12</v>
      </c>
      <c r="D36" s="37">
        <v>1</v>
      </c>
      <c r="E36" s="37">
        <v>0</v>
      </c>
      <c r="F36" s="1">
        <v>40</v>
      </c>
    </row>
    <row r="37" spans="1:6">
      <c r="A37" s="10">
        <v>22</v>
      </c>
      <c r="B37" s="27" t="s">
        <v>166</v>
      </c>
      <c r="C37" s="2" t="s">
        <v>12</v>
      </c>
      <c r="D37" s="37">
        <v>2</v>
      </c>
      <c r="E37" s="37">
        <v>0</v>
      </c>
      <c r="F37" s="24">
        <v>10</v>
      </c>
    </row>
    <row r="38" spans="1:6">
      <c r="A38" s="1">
        <v>23</v>
      </c>
      <c r="B38" s="25" t="s">
        <v>167</v>
      </c>
      <c r="C38" s="2" t="s">
        <v>14</v>
      </c>
      <c r="D38" s="37">
        <v>0</v>
      </c>
      <c r="E38" s="37">
        <v>300</v>
      </c>
      <c r="F38" s="24">
        <v>10</v>
      </c>
    </row>
    <row r="39" spans="1:6">
      <c r="A39" s="1">
        <v>24</v>
      </c>
      <c r="B39" s="28" t="s">
        <v>168</v>
      </c>
      <c r="C39" s="2" t="s">
        <v>16</v>
      </c>
      <c r="D39" s="37">
        <v>3</v>
      </c>
      <c r="E39" s="37">
        <v>0</v>
      </c>
      <c r="F39" s="24">
        <v>10</v>
      </c>
    </row>
    <row r="40" spans="1:6">
      <c r="A40" s="1">
        <v>25</v>
      </c>
      <c r="B40" s="94" t="s">
        <v>169</v>
      </c>
      <c r="C40" s="2" t="s">
        <v>18</v>
      </c>
      <c r="D40" s="37">
        <v>1</v>
      </c>
      <c r="E40" s="37">
        <v>0</v>
      </c>
      <c r="F40" s="24">
        <v>10</v>
      </c>
    </row>
    <row r="41" spans="1:6">
      <c r="A41" s="10">
        <v>26</v>
      </c>
      <c r="B41" s="94" t="s">
        <v>170</v>
      </c>
      <c r="C41" s="2" t="s">
        <v>18</v>
      </c>
      <c r="D41" s="37">
        <v>1</v>
      </c>
      <c r="E41" s="37">
        <v>0</v>
      </c>
      <c r="F41" s="24">
        <v>30</v>
      </c>
    </row>
    <row r="42" spans="1:6">
      <c r="A42" s="1">
        <v>27</v>
      </c>
      <c r="B42" s="94" t="s">
        <v>171</v>
      </c>
      <c r="C42" s="2" t="s">
        <v>10</v>
      </c>
      <c r="D42" s="37">
        <v>3</v>
      </c>
      <c r="E42" s="37">
        <v>0</v>
      </c>
      <c r="F42" s="24">
        <v>30</v>
      </c>
    </row>
    <row r="43" spans="1:6">
      <c r="A43" s="1">
        <v>28</v>
      </c>
      <c r="B43" s="94" t="s">
        <v>172</v>
      </c>
      <c r="C43" s="2" t="s">
        <v>21</v>
      </c>
      <c r="D43" s="37">
        <v>1</v>
      </c>
      <c r="E43" s="37">
        <v>0</v>
      </c>
      <c r="F43" s="24">
        <v>30</v>
      </c>
    </row>
    <row r="44" spans="1:6">
      <c r="A44" s="1">
        <v>29</v>
      </c>
      <c r="B44" s="95" t="s">
        <v>173</v>
      </c>
      <c r="C44" s="2" t="s">
        <v>21</v>
      </c>
      <c r="D44" s="37">
        <v>2</v>
      </c>
      <c r="E44" s="37">
        <v>0</v>
      </c>
      <c r="F44" s="24">
        <v>10</v>
      </c>
    </row>
    <row r="45" spans="1:6" ht="24">
      <c r="A45" s="10">
        <v>30</v>
      </c>
      <c r="B45" s="94" t="s">
        <v>174</v>
      </c>
      <c r="C45" s="2" t="s">
        <v>12</v>
      </c>
      <c r="D45" s="37">
        <v>4</v>
      </c>
      <c r="E45" s="37">
        <v>0</v>
      </c>
      <c r="F45" s="24">
        <v>10</v>
      </c>
    </row>
    <row r="46" spans="1:6">
      <c r="A46" s="1">
        <v>31</v>
      </c>
      <c r="B46" s="96" t="s">
        <v>175</v>
      </c>
      <c r="C46" s="2" t="s">
        <v>12</v>
      </c>
      <c r="D46" s="37">
        <v>2</v>
      </c>
      <c r="E46" s="37">
        <v>0</v>
      </c>
      <c r="F46" s="24">
        <v>30</v>
      </c>
    </row>
    <row r="47" spans="1:6">
      <c r="A47" s="1">
        <v>32</v>
      </c>
      <c r="B47" s="97" t="s">
        <v>176</v>
      </c>
      <c r="C47" s="2" t="s">
        <v>14</v>
      </c>
      <c r="D47" s="37">
        <v>0</v>
      </c>
      <c r="E47" s="37">
        <v>200</v>
      </c>
      <c r="F47" s="24">
        <v>30</v>
      </c>
    </row>
    <row r="48" spans="1:6">
      <c r="A48" s="1">
        <v>33</v>
      </c>
      <c r="B48" s="98" t="s">
        <v>177</v>
      </c>
      <c r="C48" s="2" t="s">
        <v>16</v>
      </c>
      <c r="D48" s="37">
        <v>2</v>
      </c>
      <c r="E48" s="37">
        <v>0</v>
      </c>
      <c r="F48" s="24">
        <v>10</v>
      </c>
    </row>
    <row r="49" spans="1:6" ht="24">
      <c r="A49" s="10">
        <v>34</v>
      </c>
      <c r="B49" s="94" t="s">
        <v>178</v>
      </c>
      <c r="C49" s="2" t="s">
        <v>18</v>
      </c>
      <c r="D49" s="37">
        <v>2</v>
      </c>
      <c r="E49" s="37">
        <v>0</v>
      </c>
      <c r="F49" s="24">
        <v>10</v>
      </c>
    </row>
    <row r="50" spans="1:6">
      <c r="A50" s="1">
        <v>35</v>
      </c>
      <c r="B50" s="94" t="s">
        <v>179</v>
      </c>
      <c r="C50" s="2" t="s">
        <v>10</v>
      </c>
      <c r="D50" s="37">
        <v>2</v>
      </c>
      <c r="E50" s="37">
        <v>0</v>
      </c>
      <c r="F50" s="24">
        <v>10</v>
      </c>
    </row>
    <row r="51" spans="1:6">
      <c r="A51" s="1">
        <v>36</v>
      </c>
      <c r="B51" s="27" t="s">
        <v>166</v>
      </c>
      <c r="C51" s="2" t="s">
        <v>21</v>
      </c>
      <c r="D51" s="37">
        <v>1</v>
      </c>
      <c r="E51" s="37">
        <v>0</v>
      </c>
      <c r="F51" s="24">
        <v>10</v>
      </c>
    </row>
    <row r="52" spans="1:6">
      <c r="A52" s="1">
        <v>37</v>
      </c>
      <c r="B52" s="25" t="s">
        <v>167</v>
      </c>
      <c r="C52" s="2" t="s">
        <v>21</v>
      </c>
      <c r="D52" s="37">
        <v>1</v>
      </c>
      <c r="E52" s="37">
        <v>0</v>
      </c>
      <c r="F52" s="24">
        <v>30</v>
      </c>
    </row>
    <row r="53" spans="1:6">
      <c r="A53" s="10">
        <v>38</v>
      </c>
      <c r="B53" s="28" t="s">
        <v>168</v>
      </c>
      <c r="C53" s="2" t="s">
        <v>12</v>
      </c>
      <c r="D53" s="37">
        <v>0</v>
      </c>
      <c r="E53" s="37">
        <v>200</v>
      </c>
      <c r="F53" s="24">
        <v>30</v>
      </c>
    </row>
    <row r="54" spans="1:6">
      <c r="A54" s="1">
        <v>39</v>
      </c>
      <c r="B54" s="94" t="s">
        <v>180</v>
      </c>
      <c r="C54" s="2" t="s">
        <v>21</v>
      </c>
      <c r="D54" s="37">
        <v>2</v>
      </c>
      <c r="E54" s="37">
        <v>0</v>
      </c>
      <c r="F54" s="24">
        <v>10</v>
      </c>
    </row>
    <row r="55" spans="1:6" ht="24">
      <c r="A55" s="1">
        <v>40</v>
      </c>
      <c r="B55" s="94" t="s">
        <v>181</v>
      </c>
      <c r="C55" s="2" t="s">
        <v>21</v>
      </c>
      <c r="D55" s="37">
        <v>1</v>
      </c>
      <c r="E55" s="37">
        <v>0</v>
      </c>
      <c r="F55" s="24">
        <v>10</v>
      </c>
    </row>
    <row r="56" spans="1:6">
      <c r="A56" s="1">
        <v>41</v>
      </c>
      <c r="B56" s="94" t="s">
        <v>182</v>
      </c>
      <c r="C56" s="2" t="s">
        <v>12</v>
      </c>
      <c r="D56" s="37">
        <v>3</v>
      </c>
      <c r="E56" s="37">
        <v>0</v>
      </c>
      <c r="F56" s="24">
        <v>30</v>
      </c>
    </row>
    <row r="57" spans="1:6">
      <c r="A57" s="10">
        <v>42</v>
      </c>
      <c r="B57" s="94" t="s">
        <v>183</v>
      </c>
      <c r="C57" s="2" t="s">
        <v>12</v>
      </c>
      <c r="D57" s="37">
        <v>1</v>
      </c>
      <c r="E57" s="37">
        <v>0</v>
      </c>
      <c r="F57" s="24">
        <v>30</v>
      </c>
    </row>
    <row r="58" spans="1:6">
      <c r="A58" s="1">
        <v>43</v>
      </c>
      <c r="B58" s="99" t="s">
        <v>85</v>
      </c>
      <c r="C58" s="2" t="s">
        <v>14</v>
      </c>
      <c r="D58" s="37">
        <v>2</v>
      </c>
      <c r="E58" s="37">
        <v>0</v>
      </c>
      <c r="F58" s="24">
        <v>10</v>
      </c>
    </row>
    <row r="59" spans="1:6">
      <c r="A59" s="1">
        <v>44</v>
      </c>
      <c r="B59" s="57" t="s">
        <v>86</v>
      </c>
      <c r="C59" s="2" t="s">
        <v>16</v>
      </c>
      <c r="D59" s="37">
        <v>1</v>
      </c>
      <c r="E59" s="37">
        <v>0</v>
      </c>
      <c r="F59" s="24">
        <v>10</v>
      </c>
    </row>
    <row r="60" spans="1:6">
      <c r="A60" s="1">
        <v>45</v>
      </c>
      <c r="B60" s="57" t="s">
        <v>87</v>
      </c>
      <c r="C60" s="2" t="s">
        <v>18</v>
      </c>
      <c r="D60" s="37">
        <v>3</v>
      </c>
      <c r="E60" s="37">
        <v>0</v>
      </c>
      <c r="F60" s="24">
        <v>10</v>
      </c>
    </row>
    <row r="61" spans="1:6">
      <c r="A61" s="10">
        <v>46</v>
      </c>
      <c r="B61" s="57" t="s">
        <v>88</v>
      </c>
      <c r="C61" s="2" t="s">
        <v>10</v>
      </c>
      <c r="D61" s="37">
        <v>1</v>
      </c>
      <c r="E61" s="37">
        <v>0</v>
      </c>
      <c r="F61" s="24">
        <v>10</v>
      </c>
    </row>
    <row r="62" spans="1:6">
      <c r="A62" s="1">
        <v>47</v>
      </c>
      <c r="B62" s="57" t="s">
        <v>89</v>
      </c>
      <c r="C62" s="2" t="s">
        <v>10</v>
      </c>
      <c r="D62" s="37">
        <v>1</v>
      </c>
      <c r="E62" s="37">
        <v>0</v>
      </c>
      <c r="F62" s="24">
        <v>10</v>
      </c>
    </row>
    <row r="63" spans="1:6">
      <c r="A63" s="1">
        <v>48</v>
      </c>
      <c r="B63" s="57" t="s">
        <v>102</v>
      </c>
      <c r="C63" s="2" t="s">
        <v>21</v>
      </c>
      <c r="D63" s="37">
        <v>2</v>
      </c>
      <c r="E63" s="37">
        <v>0</v>
      </c>
      <c r="F63" s="24">
        <v>10</v>
      </c>
    </row>
    <row r="64" spans="1:6">
      <c r="A64" s="1">
        <v>49</v>
      </c>
      <c r="B64" s="57" t="s">
        <v>103</v>
      </c>
      <c r="C64" s="2" t="s">
        <v>10</v>
      </c>
      <c r="D64" s="37">
        <v>2</v>
      </c>
      <c r="E64" s="37">
        <v>0</v>
      </c>
      <c r="F64" s="24">
        <v>30</v>
      </c>
    </row>
    <row r="65" spans="1:6">
      <c r="A65" s="10">
        <v>50</v>
      </c>
      <c r="B65" s="100" t="s">
        <v>184</v>
      </c>
      <c r="C65" s="2" t="s">
        <v>21</v>
      </c>
      <c r="D65" s="37">
        <v>2</v>
      </c>
      <c r="E65" s="37">
        <v>0</v>
      </c>
      <c r="F65" s="24">
        <v>30</v>
      </c>
    </row>
    <row r="66" spans="1:6">
      <c r="A66" s="1">
        <v>51</v>
      </c>
      <c r="B66" s="101" t="s">
        <v>185</v>
      </c>
      <c r="C66" s="2" t="s">
        <v>21</v>
      </c>
      <c r="D66" s="37">
        <v>1</v>
      </c>
      <c r="E66" s="37">
        <v>0</v>
      </c>
      <c r="F66" s="24">
        <v>30</v>
      </c>
    </row>
    <row r="67" spans="1:6">
      <c r="A67" s="1">
        <v>52</v>
      </c>
      <c r="B67" s="101" t="s">
        <v>186</v>
      </c>
      <c r="C67" s="2" t="s">
        <v>12</v>
      </c>
      <c r="D67" s="37">
        <v>3</v>
      </c>
      <c r="E67" s="37">
        <v>0</v>
      </c>
      <c r="F67" s="24">
        <v>10</v>
      </c>
    </row>
    <row r="68" spans="1:6">
      <c r="A68" s="1">
        <v>53</v>
      </c>
      <c r="B68" s="101" t="s">
        <v>187</v>
      </c>
      <c r="C68" s="2" t="s">
        <v>12</v>
      </c>
      <c r="D68" s="37">
        <v>1</v>
      </c>
      <c r="E68" s="37">
        <v>0</v>
      </c>
      <c r="F68" s="24">
        <v>10</v>
      </c>
    </row>
    <row r="69" spans="1:6">
      <c r="A69" s="10">
        <v>54</v>
      </c>
      <c r="B69" s="101" t="s">
        <v>188</v>
      </c>
      <c r="C69" s="2" t="s">
        <v>14</v>
      </c>
      <c r="D69" s="37">
        <v>1</v>
      </c>
      <c r="E69" s="37">
        <v>0</v>
      </c>
      <c r="F69" s="24">
        <v>30</v>
      </c>
    </row>
    <row r="70" spans="1:6" ht="24">
      <c r="A70" s="1">
        <v>55</v>
      </c>
      <c r="B70" s="101" t="s">
        <v>189</v>
      </c>
      <c r="C70" s="2" t="s">
        <v>12</v>
      </c>
      <c r="D70" s="112">
        <v>2</v>
      </c>
      <c r="E70" s="112">
        <v>0</v>
      </c>
      <c r="F70" s="118">
        <v>30</v>
      </c>
    </row>
    <row r="71" spans="1:6">
      <c r="D71" s="2">
        <f>SUM(D16:D70)</f>
        <v>69</v>
      </c>
      <c r="E71" s="2">
        <f>SUM(E16:E70)</f>
        <v>10500</v>
      </c>
      <c r="F71" s="2">
        <f>SUM(F16:F70)</f>
        <v>1295</v>
      </c>
    </row>
  </sheetData>
  <mergeCells count="7">
    <mergeCell ref="A14:F14"/>
    <mergeCell ref="A1:B3"/>
    <mergeCell ref="C1:K3"/>
    <mergeCell ref="L1:M3"/>
    <mergeCell ref="A4:B5"/>
    <mergeCell ref="C4:K5"/>
    <mergeCell ref="L4:M4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8A153-D362-4752-ACF6-534F2E89A850}">
  <dimension ref="A1:M57"/>
  <sheetViews>
    <sheetView topLeftCell="A42" workbookViewId="0">
      <selection activeCell="L15" sqref="H6:L15"/>
    </sheetView>
  </sheetViews>
  <sheetFormatPr defaultRowHeight="15"/>
  <cols>
    <col min="2" max="2" width="36.7109375" customWidth="1"/>
    <col min="3" max="3" width="19.28515625" customWidth="1"/>
    <col min="4" max="4" width="20.28515625" customWidth="1"/>
    <col min="5" max="5" width="17.42578125" customWidth="1"/>
    <col min="6" max="6" width="10.42578125" customWidth="1"/>
    <col min="10" max="10" width="16.5703125" bestFit="1" customWidth="1"/>
  </cols>
  <sheetData>
    <row r="1" spans="1:13">
      <c r="A1" s="79"/>
      <c r="B1" s="79"/>
      <c r="C1" s="80" t="s">
        <v>41</v>
      </c>
      <c r="D1" s="80"/>
      <c r="E1" s="80"/>
      <c r="F1" s="80"/>
      <c r="G1" s="80"/>
      <c r="H1" s="80"/>
      <c r="I1" s="80"/>
      <c r="J1" s="80"/>
      <c r="K1" s="80"/>
      <c r="L1" s="81"/>
      <c r="M1" s="81"/>
    </row>
    <row r="2" spans="1:13">
      <c r="A2" s="79"/>
      <c r="B2" s="79"/>
      <c r="C2" s="80"/>
      <c r="D2" s="80"/>
      <c r="E2" s="80"/>
      <c r="F2" s="80"/>
      <c r="G2" s="80"/>
      <c r="H2" s="80"/>
      <c r="I2" s="80"/>
      <c r="J2" s="80"/>
      <c r="K2" s="80"/>
      <c r="L2" s="81"/>
      <c r="M2" s="81"/>
    </row>
    <row r="3" spans="1:13">
      <c r="A3" s="79"/>
      <c r="B3" s="79"/>
      <c r="C3" s="80"/>
      <c r="D3" s="80"/>
      <c r="E3" s="80"/>
      <c r="F3" s="80"/>
      <c r="G3" s="80"/>
      <c r="H3" s="80"/>
      <c r="I3" s="80"/>
      <c r="J3" s="80"/>
      <c r="K3" s="80"/>
      <c r="L3" s="81"/>
      <c r="M3" s="81"/>
    </row>
    <row r="4" spans="1:13">
      <c r="A4" s="82" t="s">
        <v>90</v>
      </c>
      <c r="B4" s="82"/>
      <c r="C4" s="83" t="s">
        <v>42</v>
      </c>
      <c r="D4" s="83"/>
      <c r="E4" s="83"/>
      <c r="F4" s="83"/>
      <c r="G4" s="83"/>
      <c r="H4" s="83"/>
      <c r="I4" s="83"/>
      <c r="J4" s="83"/>
      <c r="K4" s="83"/>
      <c r="L4" s="84" t="s">
        <v>0</v>
      </c>
      <c r="M4" s="84"/>
    </row>
    <row r="5" spans="1:13">
      <c r="A5" s="82"/>
      <c r="B5" s="82"/>
      <c r="C5" s="83"/>
      <c r="D5" s="83"/>
      <c r="E5" s="83"/>
      <c r="F5" s="83"/>
      <c r="G5" s="83"/>
      <c r="H5" s="121"/>
      <c r="I5" s="121"/>
      <c r="J5" s="121"/>
      <c r="K5" s="121"/>
      <c r="L5" s="122" t="s">
        <v>1</v>
      </c>
      <c r="M5" s="34" t="s">
        <v>2</v>
      </c>
    </row>
    <row r="6" spans="1:13">
      <c r="H6" s="124"/>
      <c r="I6" s="124"/>
      <c r="J6" s="124"/>
      <c r="K6" s="124"/>
      <c r="L6" s="124"/>
    </row>
    <row r="7" spans="1:13">
      <c r="H7" s="124"/>
      <c r="I7" s="124"/>
      <c r="J7" s="124"/>
      <c r="K7" s="124"/>
      <c r="L7" s="124"/>
    </row>
    <row r="8" spans="1:13">
      <c r="H8" s="124"/>
      <c r="I8" s="124"/>
      <c r="J8" s="124"/>
      <c r="K8" s="124"/>
      <c r="L8" s="124"/>
    </row>
    <row r="9" spans="1:13">
      <c r="H9" s="124"/>
      <c r="I9" s="126"/>
      <c r="J9" s="126"/>
      <c r="K9" s="124"/>
      <c r="L9" s="124"/>
    </row>
    <row r="10" spans="1:13">
      <c r="H10" s="124"/>
      <c r="I10" s="127"/>
      <c r="J10" s="124"/>
      <c r="K10" s="124"/>
      <c r="L10" s="124"/>
    </row>
    <row r="11" spans="1:13">
      <c r="H11" s="124"/>
      <c r="I11" s="124"/>
      <c r="J11" s="124"/>
      <c r="K11" s="124"/>
      <c r="L11" s="124"/>
    </row>
    <row r="12" spans="1:13">
      <c r="H12" s="124"/>
      <c r="I12" s="124"/>
      <c r="J12" s="124"/>
      <c r="K12" s="124"/>
      <c r="L12" s="124"/>
    </row>
    <row r="13" spans="1:13">
      <c r="H13" s="124"/>
      <c r="I13" s="124"/>
      <c r="J13" s="124"/>
      <c r="K13" s="124"/>
      <c r="L13" s="124"/>
    </row>
    <row r="14" spans="1:13">
      <c r="A14" s="78" t="s">
        <v>144</v>
      </c>
      <c r="B14" s="78"/>
      <c r="C14" s="78"/>
      <c r="D14" s="78"/>
      <c r="E14" s="78"/>
      <c r="F14" s="78"/>
      <c r="H14" s="124"/>
      <c r="I14" s="124"/>
      <c r="J14" s="124"/>
      <c r="K14" s="124"/>
      <c r="L14" s="124"/>
    </row>
    <row r="15" spans="1:13" ht="45.75">
      <c r="A15" s="45"/>
      <c r="B15" s="46" t="s">
        <v>4</v>
      </c>
      <c r="C15" s="48" t="s">
        <v>5</v>
      </c>
      <c r="D15" s="46" t="s">
        <v>6</v>
      </c>
      <c r="E15" s="47" t="s">
        <v>8</v>
      </c>
      <c r="F15" s="47" t="s">
        <v>7</v>
      </c>
      <c r="H15" s="124"/>
      <c r="I15" s="124"/>
      <c r="J15" s="124"/>
      <c r="K15" s="124"/>
      <c r="L15" s="124"/>
    </row>
    <row r="16" spans="1:13">
      <c r="A16" s="1">
        <v>1</v>
      </c>
      <c r="B16" s="28" t="s">
        <v>190</v>
      </c>
      <c r="C16" s="1" t="s">
        <v>16</v>
      </c>
      <c r="D16" s="23">
        <v>2</v>
      </c>
      <c r="E16" s="23">
        <v>0</v>
      </c>
      <c r="F16" s="24">
        <v>40</v>
      </c>
    </row>
    <row r="17" spans="1:6">
      <c r="A17" s="1">
        <v>2</v>
      </c>
      <c r="B17" s="27" t="s">
        <v>191</v>
      </c>
      <c r="C17" s="1" t="s">
        <v>54</v>
      </c>
      <c r="D17" s="37">
        <v>1</v>
      </c>
      <c r="E17" s="23">
        <v>0</v>
      </c>
      <c r="F17" s="24">
        <v>40</v>
      </c>
    </row>
    <row r="18" spans="1:6">
      <c r="A18" s="1">
        <v>3</v>
      </c>
      <c r="B18" s="27" t="s">
        <v>192</v>
      </c>
      <c r="C18" s="1" t="s">
        <v>12</v>
      </c>
      <c r="D18" s="37">
        <v>1</v>
      </c>
      <c r="E18" s="23">
        <v>0</v>
      </c>
      <c r="F18" s="24">
        <v>30</v>
      </c>
    </row>
    <row r="19" spans="1:6">
      <c r="A19" s="1">
        <v>4</v>
      </c>
      <c r="B19" s="27" t="s">
        <v>193</v>
      </c>
      <c r="C19" s="1" t="s">
        <v>12</v>
      </c>
      <c r="D19" s="23">
        <v>1</v>
      </c>
      <c r="E19" s="23">
        <v>0</v>
      </c>
      <c r="F19" s="24">
        <v>45</v>
      </c>
    </row>
    <row r="20" spans="1:6">
      <c r="A20" s="1">
        <v>5</v>
      </c>
      <c r="B20" s="27" t="s">
        <v>194</v>
      </c>
      <c r="C20" s="1" t="s">
        <v>21</v>
      </c>
      <c r="D20" s="23">
        <v>4</v>
      </c>
      <c r="E20" s="23">
        <v>0</v>
      </c>
      <c r="F20" s="24">
        <v>60</v>
      </c>
    </row>
    <row r="21" spans="1:6">
      <c r="A21" s="1">
        <v>6</v>
      </c>
      <c r="B21" s="27" t="s">
        <v>195</v>
      </c>
      <c r="C21" s="1" t="s">
        <v>16</v>
      </c>
      <c r="D21" s="37">
        <v>1</v>
      </c>
      <c r="E21" s="23">
        <v>0</v>
      </c>
      <c r="F21" s="24">
        <v>30</v>
      </c>
    </row>
    <row r="22" spans="1:6" ht="30.75">
      <c r="A22" s="1">
        <v>7</v>
      </c>
      <c r="B22" s="27" t="s">
        <v>196</v>
      </c>
      <c r="C22" s="1" t="s">
        <v>16</v>
      </c>
      <c r="D22" s="37">
        <v>1</v>
      </c>
      <c r="E22" s="23">
        <v>0</v>
      </c>
      <c r="F22" s="24">
        <v>30</v>
      </c>
    </row>
    <row r="23" spans="1:6" ht="30.75">
      <c r="A23" s="1">
        <v>8</v>
      </c>
      <c r="B23" s="27" t="s">
        <v>197</v>
      </c>
      <c r="C23" s="1" t="s">
        <v>16</v>
      </c>
      <c r="D23" s="37">
        <v>1</v>
      </c>
      <c r="E23" s="23">
        <v>0</v>
      </c>
      <c r="F23" s="24">
        <v>30</v>
      </c>
    </row>
    <row r="24" spans="1:6" ht="30.75">
      <c r="A24" s="1">
        <v>9</v>
      </c>
      <c r="B24" s="27" t="s">
        <v>109</v>
      </c>
      <c r="C24" s="1" t="s">
        <v>16</v>
      </c>
      <c r="D24" s="37">
        <v>1</v>
      </c>
      <c r="E24" s="23">
        <v>0</v>
      </c>
      <c r="F24" s="24">
        <v>30</v>
      </c>
    </row>
    <row r="25" spans="1:6" ht="30.75">
      <c r="A25" s="1">
        <v>10</v>
      </c>
      <c r="B25" s="27" t="s">
        <v>110</v>
      </c>
      <c r="C25" s="1" t="s">
        <v>16</v>
      </c>
      <c r="D25" s="37">
        <v>1</v>
      </c>
      <c r="E25" s="23">
        <v>0</v>
      </c>
      <c r="F25" s="24">
        <v>30</v>
      </c>
    </row>
    <row r="26" spans="1:6" ht="30.75">
      <c r="A26" s="1">
        <v>11</v>
      </c>
      <c r="B26" s="27" t="s">
        <v>111</v>
      </c>
      <c r="C26" s="1" t="s">
        <v>16</v>
      </c>
      <c r="D26" s="37">
        <v>1</v>
      </c>
      <c r="E26" s="23">
        <v>0</v>
      </c>
      <c r="F26" s="24">
        <v>30</v>
      </c>
    </row>
    <row r="27" spans="1:6" ht="30.75">
      <c r="A27" s="1">
        <v>12</v>
      </c>
      <c r="B27" s="27" t="s">
        <v>112</v>
      </c>
      <c r="C27" s="1" t="s">
        <v>16</v>
      </c>
      <c r="D27" s="37">
        <v>1</v>
      </c>
      <c r="E27" s="23">
        <v>0</v>
      </c>
      <c r="F27" s="24">
        <v>30</v>
      </c>
    </row>
    <row r="28" spans="1:6" ht="30.75">
      <c r="A28" s="1">
        <v>13</v>
      </c>
      <c r="B28" s="27" t="s">
        <v>113</v>
      </c>
      <c r="C28" s="1" t="s">
        <v>16</v>
      </c>
      <c r="D28" s="37">
        <v>1</v>
      </c>
      <c r="E28" s="23">
        <v>0</v>
      </c>
      <c r="F28" s="24">
        <v>30</v>
      </c>
    </row>
    <row r="29" spans="1:6" ht="30.75">
      <c r="A29" s="1">
        <v>14</v>
      </c>
      <c r="B29" s="27" t="s">
        <v>114</v>
      </c>
      <c r="C29" s="1" t="s">
        <v>16</v>
      </c>
      <c r="D29" s="37">
        <v>1</v>
      </c>
      <c r="E29" s="23">
        <v>0</v>
      </c>
      <c r="F29" s="24">
        <v>30</v>
      </c>
    </row>
    <row r="30" spans="1:6" ht="30.75">
      <c r="A30" s="1">
        <v>15</v>
      </c>
      <c r="B30" s="27" t="s">
        <v>198</v>
      </c>
      <c r="C30" s="2" t="s">
        <v>18</v>
      </c>
      <c r="D30" s="37">
        <v>1</v>
      </c>
      <c r="E30" s="23">
        <v>0</v>
      </c>
      <c r="F30" s="24">
        <v>30</v>
      </c>
    </row>
    <row r="31" spans="1:6">
      <c r="A31" s="1">
        <v>16</v>
      </c>
      <c r="B31" s="27" t="s">
        <v>104</v>
      </c>
      <c r="C31" s="2" t="s">
        <v>10</v>
      </c>
      <c r="D31" s="37">
        <v>1</v>
      </c>
      <c r="E31" s="23">
        <v>0</v>
      </c>
      <c r="F31" s="24">
        <v>30</v>
      </c>
    </row>
    <row r="32" spans="1:6" ht="30.75">
      <c r="A32" s="107">
        <v>17</v>
      </c>
      <c r="B32" s="108" t="s">
        <v>115</v>
      </c>
      <c r="C32" s="3" t="s">
        <v>21</v>
      </c>
      <c r="D32" s="109">
        <v>1</v>
      </c>
      <c r="E32" s="110">
        <v>0</v>
      </c>
      <c r="F32" s="111">
        <v>30</v>
      </c>
    </row>
    <row r="33" spans="1:6">
      <c r="A33" s="10">
        <v>18</v>
      </c>
      <c r="B33" s="98" t="s">
        <v>199</v>
      </c>
      <c r="C33" s="1" t="s">
        <v>16</v>
      </c>
      <c r="D33" s="37">
        <v>1</v>
      </c>
      <c r="E33" s="23">
        <v>0</v>
      </c>
      <c r="F33" s="24"/>
    </row>
    <row r="34" spans="1:6">
      <c r="A34" s="1">
        <v>19</v>
      </c>
      <c r="B34" s="28" t="s">
        <v>200</v>
      </c>
      <c r="C34" s="1" t="s">
        <v>16</v>
      </c>
      <c r="D34" s="37">
        <v>1</v>
      </c>
      <c r="E34" s="23">
        <v>0</v>
      </c>
      <c r="F34" s="24"/>
    </row>
    <row r="35" spans="1:6">
      <c r="A35" s="1">
        <v>20</v>
      </c>
      <c r="B35" s="102" t="s">
        <v>201</v>
      </c>
      <c r="C35" s="2" t="s">
        <v>21</v>
      </c>
      <c r="D35" s="37">
        <v>3</v>
      </c>
      <c r="E35" s="23">
        <v>0</v>
      </c>
      <c r="F35" s="1">
        <v>60</v>
      </c>
    </row>
    <row r="36" spans="1:6">
      <c r="A36" s="1">
        <v>21</v>
      </c>
      <c r="B36" s="103" t="s">
        <v>202</v>
      </c>
      <c r="C36" s="2" t="s">
        <v>12</v>
      </c>
      <c r="D36" s="37">
        <v>1</v>
      </c>
      <c r="E36" s="23">
        <v>0</v>
      </c>
      <c r="F36" s="1">
        <v>40</v>
      </c>
    </row>
    <row r="37" spans="1:6">
      <c r="A37" s="10">
        <v>22</v>
      </c>
      <c r="B37" s="103" t="s">
        <v>203</v>
      </c>
      <c r="C37" s="2" t="s">
        <v>12</v>
      </c>
      <c r="D37" s="37">
        <v>2</v>
      </c>
      <c r="E37" s="23">
        <v>0</v>
      </c>
      <c r="F37" s="24">
        <v>10</v>
      </c>
    </row>
    <row r="38" spans="1:6">
      <c r="A38" s="1">
        <v>23</v>
      </c>
      <c r="B38" s="103" t="s">
        <v>204</v>
      </c>
      <c r="C38" s="2" t="s">
        <v>14</v>
      </c>
      <c r="D38" s="37">
        <v>0</v>
      </c>
      <c r="E38" s="23">
        <v>0</v>
      </c>
      <c r="F38" s="24">
        <v>10</v>
      </c>
    </row>
    <row r="39" spans="1:6">
      <c r="A39" s="1">
        <v>24</v>
      </c>
      <c r="B39" s="104" t="s">
        <v>205</v>
      </c>
      <c r="C39" s="2" t="s">
        <v>16</v>
      </c>
      <c r="D39" s="37">
        <v>3</v>
      </c>
      <c r="E39" s="23">
        <v>0</v>
      </c>
      <c r="F39" s="24">
        <v>10</v>
      </c>
    </row>
    <row r="40" spans="1:6">
      <c r="A40" s="1">
        <v>25</v>
      </c>
      <c r="B40" s="102" t="s">
        <v>206</v>
      </c>
      <c r="C40" s="2" t="s">
        <v>18</v>
      </c>
      <c r="D40" s="37">
        <v>1</v>
      </c>
      <c r="E40" s="23">
        <v>0</v>
      </c>
      <c r="F40" s="24">
        <v>10</v>
      </c>
    </row>
    <row r="41" spans="1:6" ht="24">
      <c r="A41" s="10">
        <v>26</v>
      </c>
      <c r="B41" s="105" t="s">
        <v>207</v>
      </c>
      <c r="C41" s="2" t="s">
        <v>18</v>
      </c>
      <c r="D41" s="37">
        <v>1</v>
      </c>
      <c r="E41" s="23">
        <v>0</v>
      </c>
      <c r="F41" s="24">
        <v>30</v>
      </c>
    </row>
    <row r="42" spans="1:6" ht="30.75">
      <c r="A42" s="1">
        <v>27</v>
      </c>
      <c r="B42" s="106" t="s">
        <v>208</v>
      </c>
      <c r="C42" s="2" t="s">
        <v>10</v>
      </c>
      <c r="D42" s="37">
        <v>3</v>
      </c>
      <c r="E42" s="23">
        <v>0</v>
      </c>
      <c r="F42" s="24">
        <v>30</v>
      </c>
    </row>
    <row r="43" spans="1:6" ht="24">
      <c r="A43" s="1">
        <v>28</v>
      </c>
      <c r="B43" s="105" t="s">
        <v>209</v>
      </c>
      <c r="C43" s="2" t="s">
        <v>21</v>
      </c>
      <c r="D43" s="37">
        <v>1</v>
      </c>
      <c r="E43" s="23">
        <v>0</v>
      </c>
      <c r="F43" s="24">
        <v>30</v>
      </c>
    </row>
    <row r="44" spans="1:6">
      <c r="A44" s="1">
        <v>29</v>
      </c>
      <c r="B44" s="102" t="s">
        <v>210</v>
      </c>
      <c r="C44" s="2" t="s">
        <v>21</v>
      </c>
      <c r="D44" s="37">
        <v>2</v>
      </c>
      <c r="E44" s="23">
        <v>0</v>
      </c>
      <c r="F44" s="24">
        <v>10</v>
      </c>
    </row>
    <row r="45" spans="1:6">
      <c r="A45" s="10">
        <v>30</v>
      </c>
      <c r="B45" s="116" t="s">
        <v>201</v>
      </c>
      <c r="C45" s="2" t="s">
        <v>12</v>
      </c>
      <c r="D45" s="37">
        <v>4</v>
      </c>
      <c r="E45" s="23">
        <v>0</v>
      </c>
      <c r="F45" s="24">
        <v>10</v>
      </c>
    </row>
    <row r="46" spans="1:6">
      <c r="A46" s="114">
        <v>31</v>
      </c>
      <c r="B46" s="27" t="s">
        <v>103</v>
      </c>
      <c r="C46" s="5" t="s">
        <v>12</v>
      </c>
      <c r="D46" s="37">
        <v>2</v>
      </c>
      <c r="E46" s="23">
        <v>0</v>
      </c>
      <c r="F46" s="24">
        <v>30</v>
      </c>
    </row>
    <row r="47" spans="1:6">
      <c r="A47" s="114">
        <v>32</v>
      </c>
      <c r="B47" s="102" t="s">
        <v>211</v>
      </c>
      <c r="C47" s="5" t="s">
        <v>14</v>
      </c>
      <c r="D47" s="37">
        <v>0</v>
      </c>
      <c r="E47" s="23">
        <v>0</v>
      </c>
      <c r="F47" s="24">
        <v>30</v>
      </c>
    </row>
    <row r="48" spans="1:6">
      <c r="A48" s="114">
        <v>33</v>
      </c>
      <c r="B48" s="102" t="s">
        <v>212</v>
      </c>
      <c r="C48" s="5" t="s">
        <v>16</v>
      </c>
      <c r="D48" s="37">
        <v>2</v>
      </c>
      <c r="E48" s="23">
        <v>0</v>
      </c>
      <c r="F48" s="24">
        <v>10</v>
      </c>
    </row>
    <row r="49" spans="1:6">
      <c r="A49" s="115">
        <v>34</v>
      </c>
      <c r="B49" s="102" t="s">
        <v>213</v>
      </c>
      <c r="C49" s="5" t="s">
        <v>18</v>
      </c>
      <c r="D49" s="37">
        <v>2</v>
      </c>
      <c r="E49" s="23">
        <v>0</v>
      </c>
      <c r="F49" s="24">
        <v>10</v>
      </c>
    </row>
    <row r="50" spans="1:6">
      <c r="A50" s="114">
        <v>35</v>
      </c>
      <c r="B50" s="102" t="s">
        <v>214</v>
      </c>
      <c r="C50" s="5" t="s">
        <v>10</v>
      </c>
      <c r="D50" s="37">
        <v>2</v>
      </c>
      <c r="E50" s="23">
        <v>0</v>
      </c>
      <c r="F50" s="24">
        <v>10</v>
      </c>
    </row>
    <row r="51" spans="1:6">
      <c r="A51" s="114">
        <v>36</v>
      </c>
      <c r="B51" s="94" t="s">
        <v>183</v>
      </c>
      <c r="C51" s="5" t="s">
        <v>21</v>
      </c>
      <c r="D51" s="37">
        <v>1</v>
      </c>
      <c r="E51" s="23">
        <v>0</v>
      </c>
      <c r="F51" s="24">
        <v>10</v>
      </c>
    </row>
    <row r="52" spans="1:6">
      <c r="A52" s="114">
        <v>37</v>
      </c>
      <c r="B52" s="2" t="s">
        <v>215</v>
      </c>
      <c r="C52" s="5" t="s">
        <v>16</v>
      </c>
      <c r="D52" s="37">
        <v>0</v>
      </c>
      <c r="E52" s="23">
        <v>300</v>
      </c>
      <c r="F52" s="24">
        <v>30</v>
      </c>
    </row>
    <row r="53" spans="1:6">
      <c r="A53" s="115">
        <v>38</v>
      </c>
      <c r="B53" s="2" t="s">
        <v>216</v>
      </c>
      <c r="C53" s="5" t="s">
        <v>16</v>
      </c>
      <c r="D53" s="37">
        <v>0</v>
      </c>
      <c r="E53" s="23">
        <v>1200</v>
      </c>
      <c r="F53" s="24">
        <v>30</v>
      </c>
    </row>
    <row r="54" spans="1:6">
      <c r="A54" s="114">
        <v>39</v>
      </c>
      <c r="B54" s="2" t="s">
        <v>217</v>
      </c>
      <c r="C54" s="5" t="s">
        <v>16</v>
      </c>
      <c r="D54" s="37">
        <v>0</v>
      </c>
      <c r="E54" s="23">
        <v>800</v>
      </c>
      <c r="F54" s="24">
        <v>10</v>
      </c>
    </row>
    <row r="55" spans="1:6">
      <c r="A55" s="114">
        <v>40</v>
      </c>
      <c r="B55" s="2" t="s">
        <v>218</v>
      </c>
      <c r="C55" s="5" t="s">
        <v>16</v>
      </c>
      <c r="D55" s="37">
        <v>0</v>
      </c>
      <c r="E55" s="23">
        <v>400</v>
      </c>
      <c r="F55" s="24">
        <v>10</v>
      </c>
    </row>
    <row r="56" spans="1:6">
      <c r="A56" s="114">
        <v>41</v>
      </c>
      <c r="B56" s="2" t="s">
        <v>219</v>
      </c>
      <c r="C56" s="5" t="s">
        <v>16</v>
      </c>
      <c r="D56" s="112">
        <v>0</v>
      </c>
      <c r="E56" s="113">
        <v>400</v>
      </c>
      <c r="F56" s="24">
        <v>30</v>
      </c>
    </row>
    <row r="57" spans="1:6">
      <c r="D57" s="2">
        <f>SUM(D16:D56)</f>
        <v>53</v>
      </c>
      <c r="E57" s="2">
        <f>SUM(E16:E56)</f>
        <v>3100</v>
      </c>
      <c r="F57" s="2">
        <f>SUM(F16:F56)</f>
        <v>1035</v>
      </c>
    </row>
  </sheetData>
  <mergeCells count="8">
    <mergeCell ref="I9:J9"/>
    <mergeCell ref="A14:F14"/>
    <mergeCell ref="A1:B3"/>
    <mergeCell ref="C1:K3"/>
    <mergeCell ref="L1:M3"/>
    <mergeCell ref="A4:B5"/>
    <mergeCell ref="C4:K5"/>
    <mergeCell ref="L4:M4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78B2F-842B-4A4B-8E21-B004D4F3CCE1}">
  <dimension ref="A1:M78"/>
  <sheetViews>
    <sheetView topLeftCell="A58" workbookViewId="0">
      <selection activeCell="C58" sqref="C58"/>
    </sheetView>
  </sheetViews>
  <sheetFormatPr defaultRowHeight="15"/>
  <cols>
    <col min="2" max="2" width="36.7109375" customWidth="1"/>
    <col min="3" max="3" width="19.28515625" customWidth="1"/>
    <col min="4" max="4" width="20.28515625" customWidth="1"/>
    <col min="5" max="5" width="17.42578125" customWidth="1"/>
    <col min="6" max="6" width="10.42578125" customWidth="1"/>
    <col min="10" max="10" width="16.5703125" bestFit="1" customWidth="1"/>
  </cols>
  <sheetData>
    <row r="1" spans="1:13">
      <c r="A1" s="79"/>
      <c r="B1" s="79"/>
      <c r="C1" s="80" t="s">
        <v>41</v>
      </c>
      <c r="D1" s="80"/>
      <c r="E1" s="80"/>
      <c r="F1" s="80"/>
      <c r="G1" s="80"/>
      <c r="H1" s="80"/>
      <c r="I1" s="80"/>
      <c r="J1" s="80"/>
      <c r="K1" s="80"/>
      <c r="L1" s="81"/>
      <c r="M1" s="81"/>
    </row>
    <row r="2" spans="1:13">
      <c r="A2" s="79"/>
      <c r="B2" s="79"/>
      <c r="C2" s="80"/>
      <c r="D2" s="80"/>
      <c r="E2" s="80"/>
      <c r="F2" s="80"/>
      <c r="G2" s="80"/>
      <c r="H2" s="80"/>
      <c r="I2" s="80"/>
      <c r="J2" s="80"/>
      <c r="K2" s="80"/>
      <c r="L2" s="81"/>
      <c r="M2" s="81"/>
    </row>
    <row r="3" spans="1:13">
      <c r="A3" s="79"/>
      <c r="B3" s="79"/>
      <c r="C3" s="80"/>
      <c r="D3" s="80"/>
      <c r="E3" s="80"/>
      <c r="F3" s="80"/>
      <c r="G3" s="80"/>
      <c r="H3" s="80"/>
      <c r="I3" s="80"/>
      <c r="J3" s="80"/>
      <c r="K3" s="80"/>
      <c r="L3" s="81"/>
      <c r="M3" s="81"/>
    </row>
    <row r="4" spans="1:13">
      <c r="A4" s="82" t="s">
        <v>90</v>
      </c>
      <c r="B4" s="82"/>
      <c r="C4" s="83" t="s">
        <v>42</v>
      </c>
      <c r="D4" s="83"/>
      <c r="E4" s="83"/>
      <c r="F4" s="83"/>
      <c r="G4" s="83"/>
      <c r="H4" s="83"/>
      <c r="I4" s="83"/>
      <c r="J4" s="83"/>
      <c r="K4" s="83"/>
      <c r="L4" s="84" t="s">
        <v>0</v>
      </c>
      <c r="M4" s="84"/>
    </row>
    <row r="5" spans="1:13">
      <c r="A5" s="82"/>
      <c r="B5" s="82"/>
      <c r="C5" s="83"/>
      <c r="D5" s="83"/>
      <c r="E5" s="83"/>
      <c r="F5" s="83"/>
      <c r="G5" s="83"/>
      <c r="H5" s="83"/>
      <c r="I5" s="83"/>
      <c r="J5" s="83"/>
      <c r="K5" s="83"/>
      <c r="L5" s="33" t="s">
        <v>1</v>
      </c>
      <c r="M5" s="34" t="s">
        <v>2</v>
      </c>
    </row>
    <row r="7" spans="1:13">
      <c r="H7" s="124"/>
      <c r="I7" s="124"/>
      <c r="J7" s="124"/>
      <c r="K7" s="124"/>
    </row>
    <row r="8" spans="1:13">
      <c r="H8" s="124"/>
      <c r="I8" s="124"/>
      <c r="J8" s="124"/>
      <c r="K8" s="124"/>
    </row>
    <row r="9" spans="1:13">
      <c r="H9" s="124"/>
      <c r="I9" s="126"/>
      <c r="J9" s="126"/>
      <c r="K9" s="124"/>
    </row>
    <row r="10" spans="1:13">
      <c r="H10" s="124"/>
      <c r="I10" s="127"/>
      <c r="J10" s="124"/>
      <c r="K10" s="124"/>
    </row>
    <row r="11" spans="1:13">
      <c r="H11" s="124"/>
      <c r="I11" s="124"/>
      <c r="J11" s="124"/>
      <c r="K11" s="124"/>
    </row>
    <row r="12" spans="1:13">
      <c r="H12" s="124"/>
      <c r="I12" s="124"/>
      <c r="J12" s="124"/>
      <c r="K12" s="124"/>
    </row>
    <row r="13" spans="1:13">
      <c r="H13" s="124"/>
      <c r="I13" s="124"/>
      <c r="J13" s="124"/>
      <c r="K13" s="124"/>
    </row>
    <row r="14" spans="1:13">
      <c r="A14" s="78" t="s">
        <v>144</v>
      </c>
      <c r="B14" s="78"/>
      <c r="C14" s="78"/>
      <c r="D14" s="78"/>
      <c r="E14" s="78"/>
      <c r="F14" s="78"/>
      <c r="H14" s="124"/>
      <c r="I14" s="124"/>
      <c r="J14" s="124"/>
      <c r="K14" s="124"/>
    </row>
    <row r="15" spans="1:13" ht="45.75">
      <c r="A15" s="45"/>
      <c r="B15" s="46" t="s">
        <v>4</v>
      </c>
      <c r="C15" s="48" t="s">
        <v>5</v>
      </c>
      <c r="D15" s="46" t="s">
        <v>6</v>
      </c>
      <c r="E15" s="47" t="s">
        <v>8</v>
      </c>
      <c r="F15" s="47" t="s">
        <v>7</v>
      </c>
      <c r="H15" s="124"/>
      <c r="I15" s="124"/>
      <c r="J15" s="124"/>
      <c r="K15" s="124"/>
    </row>
    <row r="16" spans="1:13">
      <c r="A16" s="1">
        <v>1</v>
      </c>
      <c r="B16" s="97" t="s">
        <v>220</v>
      </c>
      <c r="C16" s="1" t="s">
        <v>16</v>
      </c>
      <c r="D16" s="23">
        <v>2</v>
      </c>
      <c r="E16" s="23">
        <v>0</v>
      </c>
      <c r="F16" s="24">
        <v>40</v>
      </c>
      <c r="H16" s="124"/>
      <c r="I16" s="124"/>
      <c r="J16" s="124"/>
      <c r="K16" s="124"/>
    </row>
    <row r="17" spans="1:11">
      <c r="A17" s="1">
        <v>2</v>
      </c>
      <c r="B17" s="97" t="s">
        <v>221</v>
      </c>
      <c r="C17" s="1" t="s">
        <v>54</v>
      </c>
      <c r="D17" s="37">
        <v>1</v>
      </c>
      <c r="E17" s="23">
        <v>0</v>
      </c>
      <c r="F17" s="24">
        <v>40</v>
      </c>
      <c r="H17" s="124"/>
      <c r="I17" s="124"/>
      <c r="J17" s="124"/>
      <c r="K17" s="124"/>
    </row>
    <row r="18" spans="1:11">
      <c r="A18" s="1">
        <v>3</v>
      </c>
      <c r="B18" s="97" t="s">
        <v>222</v>
      </c>
      <c r="C18" s="1" t="s">
        <v>12</v>
      </c>
      <c r="D18" s="37">
        <v>1</v>
      </c>
      <c r="E18" s="23">
        <v>0</v>
      </c>
      <c r="F18" s="24">
        <v>30</v>
      </c>
      <c r="H18" s="124"/>
      <c r="I18" s="124"/>
      <c r="J18" s="124"/>
      <c r="K18" s="124"/>
    </row>
    <row r="19" spans="1:11">
      <c r="A19" s="1">
        <v>4</v>
      </c>
      <c r="B19" s="97" t="s">
        <v>223</v>
      </c>
      <c r="C19" s="1" t="s">
        <v>12</v>
      </c>
      <c r="D19" s="23">
        <v>1</v>
      </c>
      <c r="E19" s="23">
        <v>0</v>
      </c>
      <c r="F19" s="24">
        <v>45</v>
      </c>
      <c r="H19" s="124"/>
      <c r="I19" s="124"/>
      <c r="J19" s="124"/>
      <c r="K19" s="124"/>
    </row>
    <row r="20" spans="1:11">
      <c r="A20" s="1">
        <v>5</v>
      </c>
      <c r="B20" s="97" t="s">
        <v>224</v>
      </c>
      <c r="C20" s="1" t="s">
        <v>21</v>
      </c>
      <c r="D20" s="23">
        <v>4</v>
      </c>
      <c r="E20" s="23">
        <v>0</v>
      </c>
      <c r="F20" s="24">
        <v>60</v>
      </c>
    </row>
    <row r="21" spans="1:11">
      <c r="A21" s="1">
        <v>6</v>
      </c>
      <c r="B21" s="97" t="s">
        <v>225</v>
      </c>
      <c r="C21" s="1" t="s">
        <v>16</v>
      </c>
      <c r="D21" s="37">
        <v>1</v>
      </c>
      <c r="E21" s="23">
        <v>0</v>
      </c>
      <c r="F21" s="24">
        <v>30</v>
      </c>
    </row>
    <row r="22" spans="1:11">
      <c r="A22" s="1">
        <v>7</v>
      </c>
      <c r="B22" s="97" t="s">
        <v>226</v>
      </c>
      <c r="C22" s="1" t="s">
        <v>16</v>
      </c>
      <c r="D22" s="37">
        <v>1</v>
      </c>
      <c r="E22" s="23">
        <v>0</v>
      </c>
      <c r="F22" s="24">
        <v>30</v>
      </c>
    </row>
    <row r="23" spans="1:11">
      <c r="A23" s="1">
        <v>8</v>
      </c>
      <c r="B23" s="57" t="s">
        <v>227</v>
      </c>
      <c r="C23" s="1" t="s">
        <v>16</v>
      </c>
      <c r="D23" s="37">
        <v>1</v>
      </c>
      <c r="E23" s="23">
        <v>0</v>
      </c>
      <c r="F23" s="24">
        <v>30</v>
      </c>
    </row>
    <row r="24" spans="1:11">
      <c r="A24" s="1">
        <v>9</v>
      </c>
      <c r="B24" s="57" t="s">
        <v>228</v>
      </c>
      <c r="C24" s="1" t="s">
        <v>16</v>
      </c>
      <c r="D24" s="37">
        <v>1</v>
      </c>
      <c r="E24" s="23">
        <v>0</v>
      </c>
      <c r="F24" s="24">
        <v>30</v>
      </c>
    </row>
    <row r="25" spans="1:11">
      <c r="A25" s="1">
        <v>10</v>
      </c>
      <c r="B25" s="57" t="s">
        <v>229</v>
      </c>
      <c r="C25" s="1" t="s">
        <v>16</v>
      </c>
      <c r="D25" s="37">
        <v>1</v>
      </c>
      <c r="E25" s="23">
        <v>0</v>
      </c>
      <c r="F25" s="24">
        <v>30</v>
      </c>
    </row>
    <row r="26" spans="1:11">
      <c r="A26" s="1">
        <v>11</v>
      </c>
      <c r="B26" s="57" t="s">
        <v>230</v>
      </c>
      <c r="C26" s="1" t="s">
        <v>16</v>
      </c>
      <c r="D26" s="37">
        <v>1</v>
      </c>
      <c r="E26" s="23">
        <v>0</v>
      </c>
      <c r="F26" s="24">
        <v>30</v>
      </c>
    </row>
    <row r="27" spans="1:11" ht="30.75">
      <c r="A27" s="1">
        <v>12</v>
      </c>
      <c r="B27" s="57" t="s">
        <v>109</v>
      </c>
      <c r="C27" s="1" t="s">
        <v>16</v>
      </c>
      <c r="D27" s="37">
        <v>1</v>
      </c>
      <c r="E27" s="23">
        <v>0</v>
      </c>
      <c r="F27" s="24">
        <v>30</v>
      </c>
    </row>
    <row r="28" spans="1:11" ht="30.75">
      <c r="A28" s="1">
        <v>13</v>
      </c>
      <c r="B28" s="57" t="s">
        <v>110</v>
      </c>
      <c r="C28" s="1" t="s">
        <v>16</v>
      </c>
      <c r="D28" s="37">
        <v>1</v>
      </c>
      <c r="E28" s="23">
        <v>0</v>
      </c>
      <c r="F28" s="24">
        <v>30</v>
      </c>
    </row>
    <row r="29" spans="1:11" ht="30.75">
      <c r="A29" s="1">
        <v>14</v>
      </c>
      <c r="B29" s="57" t="s">
        <v>111</v>
      </c>
      <c r="C29" s="1" t="s">
        <v>16</v>
      </c>
      <c r="D29" s="37">
        <v>1</v>
      </c>
      <c r="E29" s="23">
        <v>0</v>
      </c>
      <c r="F29" s="24">
        <v>30</v>
      </c>
    </row>
    <row r="30" spans="1:11" ht="30.75">
      <c r="A30" s="1">
        <v>15</v>
      </c>
      <c r="B30" s="57" t="s">
        <v>112</v>
      </c>
      <c r="C30" s="2" t="s">
        <v>18</v>
      </c>
      <c r="D30" s="37">
        <v>1</v>
      </c>
      <c r="E30" s="23">
        <v>0</v>
      </c>
      <c r="F30" s="24">
        <v>30</v>
      </c>
    </row>
    <row r="31" spans="1:11" ht="30.75">
      <c r="A31" s="1">
        <v>16</v>
      </c>
      <c r="B31" s="57" t="s">
        <v>113</v>
      </c>
      <c r="C31" s="2" t="s">
        <v>10</v>
      </c>
      <c r="D31" s="37">
        <v>1</v>
      </c>
      <c r="E31" s="23">
        <v>0</v>
      </c>
      <c r="F31" s="24">
        <v>30</v>
      </c>
    </row>
    <row r="32" spans="1:11">
      <c r="A32" s="107">
        <v>17</v>
      </c>
      <c r="B32" s="57" t="s">
        <v>114</v>
      </c>
      <c r="C32" s="3" t="s">
        <v>21</v>
      </c>
      <c r="D32" s="109">
        <v>1</v>
      </c>
      <c r="E32" s="110">
        <v>0</v>
      </c>
      <c r="F32" s="111">
        <v>30</v>
      </c>
    </row>
    <row r="33" spans="1:6">
      <c r="A33" s="10">
        <v>18</v>
      </c>
      <c r="B33" s="57" t="s">
        <v>198</v>
      </c>
      <c r="C33" s="1" t="s">
        <v>16</v>
      </c>
      <c r="D33" s="37">
        <v>1</v>
      </c>
      <c r="E33" s="23">
        <v>0</v>
      </c>
      <c r="F33" s="24"/>
    </row>
    <row r="34" spans="1:6">
      <c r="A34" s="1">
        <v>19</v>
      </c>
      <c r="B34" s="57" t="s">
        <v>104</v>
      </c>
      <c r="C34" s="1" t="s">
        <v>16</v>
      </c>
      <c r="D34" s="37">
        <v>1</v>
      </c>
      <c r="E34" s="23">
        <v>0</v>
      </c>
      <c r="F34" s="24"/>
    </row>
    <row r="35" spans="1:6">
      <c r="A35" s="1">
        <v>20</v>
      </c>
      <c r="B35" s="98" t="s">
        <v>115</v>
      </c>
      <c r="C35" s="2" t="s">
        <v>21</v>
      </c>
      <c r="D35" s="37">
        <v>3</v>
      </c>
      <c r="E35" s="23">
        <v>0</v>
      </c>
      <c r="F35" s="1">
        <v>60</v>
      </c>
    </row>
    <row r="36" spans="1:6">
      <c r="A36" s="1">
        <v>21</v>
      </c>
      <c r="B36" s="98" t="s">
        <v>199</v>
      </c>
      <c r="C36" s="2" t="s">
        <v>12</v>
      </c>
      <c r="D36" s="37">
        <v>1</v>
      </c>
      <c r="E36" s="23">
        <v>0</v>
      </c>
      <c r="F36" s="1">
        <v>40</v>
      </c>
    </row>
    <row r="37" spans="1:6">
      <c r="A37" s="10">
        <v>22</v>
      </c>
      <c r="B37" s="97" t="s">
        <v>220</v>
      </c>
      <c r="C37" s="2" t="s">
        <v>12</v>
      </c>
      <c r="D37" s="37">
        <v>2</v>
      </c>
      <c r="E37" s="23">
        <v>0</v>
      </c>
      <c r="F37" s="24">
        <v>10</v>
      </c>
    </row>
    <row r="38" spans="1:6">
      <c r="A38" s="1">
        <v>23</v>
      </c>
      <c r="B38" s="97" t="s">
        <v>221</v>
      </c>
      <c r="C38" s="2" t="s">
        <v>14</v>
      </c>
      <c r="D38" s="37">
        <v>2</v>
      </c>
      <c r="E38" s="23">
        <v>0</v>
      </c>
      <c r="F38" s="24">
        <v>10</v>
      </c>
    </row>
    <row r="39" spans="1:6">
      <c r="A39" s="1">
        <v>24</v>
      </c>
      <c r="B39" s="97" t="s">
        <v>222</v>
      </c>
      <c r="C39" s="2" t="s">
        <v>16</v>
      </c>
      <c r="D39" s="37">
        <v>3</v>
      </c>
      <c r="E39" s="23">
        <v>0</v>
      </c>
      <c r="F39" s="24">
        <v>10</v>
      </c>
    </row>
    <row r="40" spans="1:6">
      <c r="A40" s="1">
        <v>25</v>
      </c>
      <c r="B40" s="92" t="s">
        <v>231</v>
      </c>
      <c r="C40" s="2" t="s">
        <v>18</v>
      </c>
      <c r="D40" s="37">
        <v>1</v>
      </c>
      <c r="E40" s="23">
        <v>0</v>
      </c>
      <c r="F40" s="24">
        <v>10</v>
      </c>
    </row>
    <row r="41" spans="1:6">
      <c r="A41" s="10">
        <v>26</v>
      </c>
      <c r="B41" s="97" t="s">
        <v>232</v>
      </c>
      <c r="C41" s="2" t="s">
        <v>18</v>
      </c>
      <c r="D41" s="37">
        <v>1</v>
      </c>
      <c r="E41" s="23">
        <v>0</v>
      </c>
      <c r="F41" s="24">
        <v>30</v>
      </c>
    </row>
    <row r="42" spans="1:6">
      <c r="A42" s="1">
        <v>27</v>
      </c>
      <c r="B42" s="97" t="s">
        <v>233</v>
      </c>
      <c r="C42" s="2" t="s">
        <v>10</v>
      </c>
      <c r="D42" s="37">
        <v>3</v>
      </c>
      <c r="E42" s="23">
        <v>0</v>
      </c>
      <c r="F42" s="24">
        <v>30</v>
      </c>
    </row>
    <row r="43" spans="1:6">
      <c r="A43" s="1">
        <v>28</v>
      </c>
      <c r="B43" s="97" t="s">
        <v>234</v>
      </c>
      <c r="C43" s="2" t="s">
        <v>21</v>
      </c>
      <c r="D43" s="37">
        <v>1</v>
      </c>
      <c r="E43" s="23">
        <v>0</v>
      </c>
      <c r="F43" s="24">
        <v>30</v>
      </c>
    </row>
    <row r="44" spans="1:6">
      <c r="A44" s="1">
        <v>29</v>
      </c>
      <c r="B44" s="97" t="s">
        <v>235</v>
      </c>
      <c r="C44" s="2" t="s">
        <v>21</v>
      </c>
      <c r="D44" s="37">
        <v>2</v>
      </c>
      <c r="E44" s="23">
        <v>0</v>
      </c>
      <c r="F44" s="24">
        <v>10</v>
      </c>
    </row>
    <row r="45" spans="1:6" ht="30.75">
      <c r="A45" s="10">
        <v>30</v>
      </c>
      <c r="B45" s="98" t="s">
        <v>236</v>
      </c>
      <c r="C45" s="2" t="s">
        <v>12</v>
      </c>
      <c r="D45" s="37">
        <v>4</v>
      </c>
      <c r="E45" s="23">
        <v>0</v>
      </c>
      <c r="F45" s="24">
        <v>10</v>
      </c>
    </row>
    <row r="46" spans="1:6">
      <c r="A46" s="114">
        <v>31</v>
      </c>
      <c r="B46" s="98" t="s">
        <v>237</v>
      </c>
      <c r="C46" s="5" t="s">
        <v>12</v>
      </c>
      <c r="D46" s="37">
        <v>2</v>
      </c>
      <c r="E46" s="23">
        <v>0</v>
      </c>
      <c r="F46" s="24">
        <v>10</v>
      </c>
    </row>
    <row r="47" spans="1:6" ht="30.75">
      <c r="A47" s="114">
        <v>32</v>
      </c>
      <c r="B47" s="98" t="s">
        <v>238</v>
      </c>
      <c r="C47" s="5" t="s">
        <v>14</v>
      </c>
      <c r="D47" s="37">
        <v>2</v>
      </c>
      <c r="E47" s="23">
        <v>0</v>
      </c>
      <c r="F47" s="24">
        <v>10</v>
      </c>
    </row>
    <row r="48" spans="1:6">
      <c r="A48" s="114">
        <v>33</v>
      </c>
      <c r="B48" s="98" t="s">
        <v>239</v>
      </c>
      <c r="C48" s="5" t="s">
        <v>16</v>
      </c>
      <c r="D48" s="37">
        <v>3</v>
      </c>
      <c r="E48" s="23">
        <v>0</v>
      </c>
      <c r="F48" s="24">
        <v>10</v>
      </c>
    </row>
    <row r="49" spans="1:6" ht="30.75">
      <c r="A49" s="115">
        <v>34</v>
      </c>
      <c r="B49" s="98" t="s">
        <v>240</v>
      </c>
      <c r="C49" s="5" t="s">
        <v>18</v>
      </c>
      <c r="D49" s="37">
        <v>1</v>
      </c>
      <c r="E49" s="23">
        <v>0</v>
      </c>
      <c r="F49" s="24">
        <v>10</v>
      </c>
    </row>
    <row r="50" spans="1:6">
      <c r="A50" s="114">
        <v>35</v>
      </c>
      <c r="B50" s="97" t="s">
        <v>220</v>
      </c>
      <c r="C50" s="5" t="s">
        <v>10</v>
      </c>
      <c r="D50" s="37">
        <v>1</v>
      </c>
      <c r="E50" s="23">
        <v>0</v>
      </c>
      <c r="F50" s="24">
        <v>30</v>
      </c>
    </row>
    <row r="51" spans="1:6">
      <c r="A51" s="114">
        <v>36</v>
      </c>
      <c r="B51" s="97" t="s">
        <v>221</v>
      </c>
      <c r="C51" s="5" t="s">
        <v>21</v>
      </c>
      <c r="D51" s="37">
        <v>3</v>
      </c>
      <c r="E51" s="23">
        <v>0</v>
      </c>
      <c r="F51" s="24">
        <v>30</v>
      </c>
    </row>
    <row r="52" spans="1:6">
      <c r="A52" s="114">
        <v>37</v>
      </c>
      <c r="B52" s="97" t="s">
        <v>222</v>
      </c>
      <c r="C52" s="2" t="s">
        <v>21</v>
      </c>
      <c r="D52" s="37">
        <v>1</v>
      </c>
      <c r="E52" s="23">
        <v>0</v>
      </c>
      <c r="F52" s="24">
        <v>30</v>
      </c>
    </row>
    <row r="53" spans="1:6">
      <c r="A53" s="115">
        <v>38</v>
      </c>
      <c r="B53" s="92" t="s">
        <v>231</v>
      </c>
      <c r="C53" s="2" t="s">
        <v>10</v>
      </c>
      <c r="D53" s="37">
        <v>2</v>
      </c>
      <c r="E53" s="23">
        <v>0</v>
      </c>
      <c r="F53" s="24">
        <v>10</v>
      </c>
    </row>
    <row r="54" spans="1:6">
      <c r="A54" s="114">
        <v>39</v>
      </c>
      <c r="B54" s="97" t="s">
        <v>232</v>
      </c>
      <c r="C54" s="2" t="s">
        <v>12</v>
      </c>
      <c r="D54" s="37">
        <v>4</v>
      </c>
      <c r="E54" s="23">
        <v>0</v>
      </c>
      <c r="F54" s="24">
        <v>10</v>
      </c>
    </row>
    <row r="55" spans="1:6">
      <c r="A55" s="114">
        <v>40</v>
      </c>
      <c r="B55" s="97" t="s">
        <v>233</v>
      </c>
      <c r="C55" s="2" t="s">
        <v>14</v>
      </c>
      <c r="D55" s="37">
        <v>4</v>
      </c>
      <c r="E55" s="23">
        <v>0</v>
      </c>
      <c r="F55" s="24">
        <v>10</v>
      </c>
    </row>
    <row r="56" spans="1:6">
      <c r="A56" s="114">
        <v>41</v>
      </c>
      <c r="B56" s="97" t="s">
        <v>234</v>
      </c>
      <c r="C56" s="2" t="s">
        <v>16</v>
      </c>
      <c r="D56" s="37">
        <v>2</v>
      </c>
      <c r="E56" s="23">
        <v>0</v>
      </c>
      <c r="F56" s="24">
        <v>10</v>
      </c>
    </row>
    <row r="57" spans="1:6" ht="24">
      <c r="A57" s="114">
        <v>42</v>
      </c>
      <c r="B57" s="117" t="s">
        <v>241</v>
      </c>
      <c r="C57" s="2" t="s">
        <v>18</v>
      </c>
      <c r="D57" s="37">
        <v>2</v>
      </c>
      <c r="E57" s="23">
        <v>0</v>
      </c>
      <c r="F57" s="24">
        <v>10</v>
      </c>
    </row>
    <row r="58" spans="1:6">
      <c r="A58" s="115">
        <v>43</v>
      </c>
      <c r="B58" s="97" t="s">
        <v>220</v>
      </c>
      <c r="C58" s="2" t="s">
        <v>10</v>
      </c>
      <c r="D58" s="37">
        <v>3</v>
      </c>
      <c r="E58" s="23">
        <v>0</v>
      </c>
      <c r="F58" s="24">
        <v>10</v>
      </c>
    </row>
    <row r="59" spans="1:6">
      <c r="A59" s="114">
        <v>44</v>
      </c>
      <c r="B59" s="97" t="s">
        <v>221</v>
      </c>
      <c r="C59" s="2" t="s">
        <v>21</v>
      </c>
      <c r="D59" s="37">
        <v>1</v>
      </c>
      <c r="E59" s="23">
        <v>0</v>
      </c>
      <c r="F59" s="24">
        <v>10</v>
      </c>
    </row>
    <row r="60" spans="1:6">
      <c r="A60" s="114">
        <v>45</v>
      </c>
      <c r="B60" s="97" t="s">
        <v>222</v>
      </c>
      <c r="C60" s="2" t="s">
        <v>21</v>
      </c>
      <c r="D60" s="37">
        <v>1</v>
      </c>
      <c r="E60" s="23">
        <v>0</v>
      </c>
      <c r="F60" s="24">
        <v>30</v>
      </c>
    </row>
    <row r="61" spans="1:6">
      <c r="A61" s="114">
        <v>46</v>
      </c>
      <c r="B61" s="92" t="s">
        <v>231</v>
      </c>
      <c r="C61" s="2" t="s">
        <v>12</v>
      </c>
      <c r="D61" s="37">
        <v>3</v>
      </c>
      <c r="E61" s="23">
        <v>0</v>
      </c>
      <c r="F61" s="24">
        <v>30</v>
      </c>
    </row>
    <row r="62" spans="1:6">
      <c r="A62" s="114">
        <v>47</v>
      </c>
      <c r="B62" s="97" t="s">
        <v>232</v>
      </c>
      <c r="C62" s="2" t="s">
        <v>12</v>
      </c>
      <c r="D62" s="37">
        <v>1</v>
      </c>
      <c r="E62" s="23">
        <v>0</v>
      </c>
      <c r="F62" s="24">
        <v>30</v>
      </c>
    </row>
    <row r="63" spans="1:6">
      <c r="A63" s="115">
        <v>48</v>
      </c>
      <c r="B63" s="97" t="s">
        <v>233</v>
      </c>
      <c r="C63" s="2" t="s">
        <v>14</v>
      </c>
      <c r="D63" s="37">
        <v>2</v>
      </c>
      <c r="E63" s="23">
        <v>0</v>
      </c>
      <c r="F63" s="24">
        <v>10</v>
      </c>
    </row>
    <row r="64" spans="1:6">
      <c r="A64" s="114">
        <v>49</v>
      </c>
      <c r="B64" s="97" t="s">
        <v>234</v>
      </c>
      <c r="C64" s="2" t="s">
        <v>16</v>
      </c>
      <c r="D64" s="37">
        <v>4</v>
      </c>
      <c r="E64" s="23">
        <v>0</v>
      </c>
      <c r="F64" s="24">
        <v>10</v>
      </c>
    </row>
    <row r="65" spans="1:6">
      <c r="A65" s="114">
        <v>50</v>
      </c>
      <c r="B65" s="97" t="s">
        <v>220</v>
      </c>
      <c r="C65" s="2" t="s">
        <v>18</v>
      </c>
      <c r="D65" s="37">
        <v>4</v>
      </c>
      <c r="E65" s="23">
        <v>0</v>
      </c>
      <c r="F65" s="24">
        <v>10</v>
      </c>
    </row>
    <row r="66" spans="1:6">
      <c r="A66" s="114">
        <v>51</v>
      </c>
      <c r="B66" s="97" t="s">
        <v>221</v>
      </c>
      <c r="C66" s="2" t="s">
        <v>10</v>
      </c>
      <c r="D66" s="37">
        <v>2</v>
      </c>
      <c r="E66" s="23">
        <v>0</v>
      </c>
      <c r="F66" s="24">
        <v>10</v>
      </c>
    </row>
    <row r="67" spans="1:6">
      <c r="A67" s="114">
        <v>52</v>
      </c>
      <c r="B67" s="97" t="s">
        <v>235</v>
      </c>
      <c r="C67" s="2" t="s">
        <v>21</v>
      </c>
      <c r="D67" s="37">
        <v>2</v>
      </c>
      <c r="E67" s="23">
        <v>0</v>
      </c>
      <c r="F67" s="24">
        <v>10</v>
      </c>
    </row>
    <row r="68" spans="1:6" ht="30.75">
      <c r="A68" s="115">
        <v>53</v>
      </c>
      <c r="B68" s="98" t="s">
        <v>236</v>
      </c>
      <c r="C68" s="2" t="s">
        <v>21</v>
      </c>
      <c r="D68" s="37">
        <v>3</v>
      </c>
      <c r="E68" s="23">
        <v>0</v>
      </c>
      <c r="F68" s="24">
        <v>10</v>
      </c>
    </row>
    <row r="69" spans="1:6">
      <c r="A69" s="114">
        <v>54</v>
      </c>
      <c r="B69" s="98" t="s">
        <v>237</v>
      </c>
      <c r="C69" s="2" t="s">
        <v>12</v>
      </c>
      <c r="D69" s="37">
        <v>1</v>
      </c>
      <c r="E69" s="23">
        <v>0</v>
      </c>
      <c r="F69" s="24">
        <v>10</v>
      </c>
    </row>
    <row r="70" spans="1:6" ht="30.75">
      <c r="A70" s="114">
        <v>55</v>
      </c>
      <c r="B70" s="98" t="s">
        <v>238</v>
      </c>
      <c r="C70" s="2" t="s">
        <v>10</v>
      </c>
      <c r="D70" s="37">
        <v>1</v>
      </c>
      <c r="E70" s="23">
        <v>0</v>
      </c>
      <c r="F70" s="24">
        <v>30</v>
      </c>
    </row>
    <row r="71" spans="1:6">
      <c r="A71" s="114">
        <v>56</v>
      </c>
      <c r="B71" s="98" t="s">
        <v>239</v>
      </c>
      <c r="C71" s="2" t="s">
        <v>21</v>
      </c>
      <c r="D71" s="37">
        <v>3</v>
      </c>
      <c r="E71" s="23">
        <v>0</v>
      </c>
      <c r="F71" s="24">
        <v>30</v>
      </c>
    </row>
    <row r="72" spans="1:6" ht="30.75">
      <c r="A72" s="114">
        <v>57</v>
      </c>
      <c r="B72" s="98" t="s">
        <v>240</v>
      </c>
      <c r="C72" s="2" t="s">
        <v>21</v>
      </c>
      <c r="D72" s="37">
        <v>1</v>
      </c>
      <c r="E72" s="23">
        <v>0</v>
      </c>
      <c r="F72" s="24">
        <v>30</v>
      </c>
    </row>
    <row r="73" spans="1:6">
      <c r="A73" s="115">
        <v>58</v>
      </c>
      <c r="B73" s="98" t="s">
        <v>242</v>
      </c>
      <c r="C73" s="2" t="s">
        <v>12</v>
      </c>
      <c r="D73" s="37">
        <v>3</v>
      </c>
      <c r="E73" s="23">
        <v>0</v>
      </c>
      <c r="F73" s="24">
        <v>10</v>
      </c>
    </row>
    <row r="74" spans="1:6">
      <c r="A74" s="114">
        <v>59</v>
      </c>
      <c r="B74" s="92" t="s">
        <v>231</v>
      </c>
      <c r="C74" s="2" t="s">
        <v>12</v>
      </c>
      <c r="D74" s="37">
        <v>1</v>
      </c>
      <c r="E74" s="23">
        <v>0</v>
      </c>
      <c r="F74" s="24">
        <v>10</v>
      </c>
    </row>
    <row r="75" spans="1:6">
      <c r="A75" s="114">
        <v>60</v>
      </c>
      <c r="B75" s="97" t="s">
        <v>232</v>
      </c>
      <c r="C75" s="2" t="s">
        <v>14</v>
      </c>
      <c r="D75" s="37">
        <v>1</v>
      </c>
      <c r="E75" s="23">
        <v>0</v>
      </c>
      <c r="F75" s="24">
        <v>30</v>
      </c>
    </row>
    <row r="76" spans="1:6">
      <c r="A76" s="114">
        <v>61</v>
      </c>
      <c r="B76" s="97" t="s">
        <v>233</v>
      </c>
      <c r="C76" s="2" t="s">
        <v>16</v>
      </c>
      <c r="D76" s="37">
        <v>3</v>
      </c>
      <c r="E76" s="23">
        <v>0</v>
      </c>
      <c r="F76" s="24">
        <v>30</v>
      </c>
    </row>
    <row r="77" spans="1:6">
      <c r="A77" s="114">
        <v>62</v>
      </c>
      <c r="B77" s="97" t="s">
        <v>234</v>
      </c>
      <c r="C77" s="2" t="s">
        <v>10</v>
      </c>
      <c r="D77" s="112">
        <v>1</v>
      </c>
      <c r="E77" s="113">
        <v>0</v>
      </c>
      <c r="F77" s="118">
        <v>30</v>
      </c>
    </row>
    <row r="78" spans="1:6">
      <c r="D78" s="2">
        <f>SUM(D16:D77)</f>
        <v>114</v>
      </c>
      <c r="E78" s="2">
        <f t="shared" ref="E78:F78" si="0">SUM(E16:E77)</f>
        <v>0</v>
      </c>
      <c r="F78" s="2">
        <f t="shared" si="0"/>
        <v>1385</v>
      </c>
    </row>
  </sheetData>
  <mergeCells count="8">
    <mergeCell ref="I9:J9"/>
    <mergeCell ref="A14:F14"/>
    <mergeCell ref="A1:B3"/>
    <mergeCell ref="C1:K3"/>
    <mergeCell ref="L1:M3"/>
    <mergeCell ref="A4:B5"/>
    <mergeCell ref="C4:K5"/>
    <mergeCell ref="L4:M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2026-03-04T04:25:41Z</dcterms:created>
  <dcterms:modified xsi:type="dcterms:W3CDTF">2026-04-29T01:13:40Z</dcterms:modified>
  <cp:category/>
  <cp:contentStatus/>
</cp:coreProperties>
</file>